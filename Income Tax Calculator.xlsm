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ASUS\Desktop\MSS\"/>
    </mc:Choice>
  </mc:AlternateContent>
  <xr:revisionPtr revIDLastSave="0" documentId="13_ncr:1_{6ACAC751-35A1-4D6C-81C2-D7048D0A20B9}" xr6:coauthVersionLast="45" xr6:coauthVersionMax="45" xr10:uidLastSave="{00000000-0000-0000-0000-000000000000}"/>
  <bookViews>
    <workbookView xWindow="-108" yWindow="-108" windowWidth="23256" windowHeight="13176" activeTab="1" xr2:uid="{031726AA-841B-43C3-85CF-47DF5CBB9876}"/>
  </bookViews>
  <sheets>
    <sheet name="Income Tax(Blank)" sheetId="1" r:id="rId1"/>
    <sheet name="Income Tax(Filled)"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1" i="2" l="1"/>
  <c r="B61" i="2" s="1"/>
  <c r="C61" i="2" s="1"/>
  <c r="A60" i="2"/>
  <c r="B60" i="2" s="1"/>
  <c r="C60" i="2" s="1"/>
  <c r="A59" i="2"/>
  <c r="B59" i="2" s="1"/>
  <c r="C59" i="2" s="1"/>
  <c r="A58" i="2"/>
  <c r="B58" i="2" s="1"/>
  <c r="C58" i="2" s="1"/>
  <c r="A57" i="2"/>
  <c r="B57" i="2" s="1"/>
  <c r="C57" i="2" s="1"/>
  <c r="A56" i="2"/>
  <c r="B56" i="2" s="1"/>
  <c r="C56" i="2" s="1"/>
  <c r="A55" i="2"/>
  <c r="B55" i="2" s="1"/>
  <c r="C55" i="2" s="1"/>
  <c r="A54" i="2"/>
  <c r="B54" i="2" s="1"/>
  <c r="C54" i="2" s="1"/>
  <c r="A53" i="2"/>
  <c r="B53" i="2" s="1"/>
  <c r="C53" i="2" s="1"/>
  <c r="A52" i="2"/>
  <c r="B52" i="2" s="1"/>
  <c r="C52" i="2" s="1"/>
  <c r="A51" i="2"/>
  <c r="B51" i="2" s="1"/>
  <c r="C51" i="2" s="1"/>
  <c r="C50" i="2"/>
  <c r="B50" i="2"/>
  <c r="C37" i="2"/>
  <c r="C36" i="2"/>
  <c r="C34" i="2"/>
  <c r="C33" i="2"/>
  <c r="C29" i="2"/>
  <c r="C25" i="2"/>
  <c r="C24" i="2"/>
  <c r="C23" i="2"/>
  <c r="C18" i="2"/>
  <c r="C62" i="2" l="1"/>
  <c r="C50" i="1"/>
  <c r="B50" i="1"/>
  <c r="C37" i="1"/>
  <c r="C36" i="1"/>
  <c r="C34" i="1"/>
  <c r="C33" i="1"/>
  <c r="C29" i="1"/>
  <c r="C25" i="1"/>
  <c r="C24" i="1"/>
  <c r="C23" i="1"/>
  <c r="C18" i="1"/>
  <c r="A58" i="1" l="1"/>
  <c r="B58" i="1" s="1"/>
  <c r="C58" i="1" s="1"/>
  <c r="A55" i="1"/>
  <c r="B55" i="1" s="1"/>
  <c r="C55" i="1" s="1"/>
  <c r="A61" i="1"/>
  <c r="B61" i="1" s="1"/>
  <c r="C61" i="1" s="1"/>
  <c r="A53" i="1"/>
  <c r="B53" i="1" s="1"/>
  <c r="C53" i="1" s="1"/>
  <c r="A60" i="1"/>
  <c r="B60" i="1" s="1"/>
  <c r="C60" i="1" s="1"/>
  <c r="A52" i="1"/>
  <c r="B52" i="1" s="1"/>
  <c r="C52" i="1" s="1"/>
  <c r="A57" i="1"/>
  <c r="B57" i="1" s="1"/>
  <c r="C57" i="1" s="1"/>
  <c r="A54" i="1"/>
  <c r="B54" i="1" s="1"/>
  <c r="C54" i="1" s="1"/>
  <c r="A59" i="1"/>
  <c r="B59" i="1" s="1"/>
  <c r="C59" i="1" s="1"/>
  <c r="A51" i="1"/>
  <c r="B51" i="1" s="1"/>
  <c r="C51" i="1" s="1"/>
  <c r="A56" i="1"/>
  <c r="B56" i="1" s="1"/>
  <c r="C56" i="1" s="1"/>
  <c r="C62" i="1" l="1"/>
</calcChain>
</file>

<file path=xl/sharedStrings.xml><?xml version="1.0" encoding="utf-8"?>
<sst xmlns="http://schemas.openxmlformats.org/spreadsheetml/2006/main" count="122" uniqueCount="57">
  <si>
    <t>Income Tax Calculator for Year of Assessment 2020</t>
  </si>
  <si>
    <t>Income(RM):</t>
  </si>
  <si>
    <t>Less than RM34,000 will not be charged</t>
  </si>
  <si>
    <t>Tax Relief for Resident Individual</t>
  </si>
  <si>
    <t>Relief Types</t>
  </si>
  <si>
    <t>Amount(RM)</t>
  </si>
  <si>
    <t>Individual  Details</t>
  </si>
  <si>
    <t>Individual and dependent relatives</t>
  </si>
  <si>
    <t>Education fees</t>
  </si>
  <si>
    <t>SOCSO</t>
  </si>
  <si>
    <t>EPF and life insurance</t>
  </si>
  <si>
    <t>Education and medical insurance</t>
  </si>
  <si>
    <t>Deferred Annuity and Private Retirement Scheme (PRS) </t>
  </si>
  <si>
    <t>Parent</t>
  </si>
  <si>
    <t>Net deposit in Skim Simpanan Pendidikan Nasional</t>
  </si>
  <si>
    <t>ONE Parent</t>
  </si>
  <si>
    <t>Parents Details</t>
  </si>
  <si>
    <t>TWO Parents</t>
  </si>
  <si>
    <t xml:space="preserve">Medical Treatment </t>
  </si>
  <si>
    <t>None</t>
  </si>
  <si>
    <t>OR</t>
  </si>
  <si>
    <t>Parents</t>
  </si>
  <si>
    <t>Family Details (self, spouse or child)</t>
  </si>
  <si>
    <t>Child care fees(under 6)</t>
  </si>
  <si>
    <t>Disable indi</t>
  </si>
  <si>
    <t>Each unmarried child(18 and above) in higher education   --&gt;</t>
  </si>
  <si>
    <t>Yes</t>
  </si>
  <si>
    <t>Each unmarried child(18 and above) in further education  --&gt;</t>
  </si>
  <si>
    <t>No</t>
  </si>
  <si>
    <t>Breastfeeding equipment for own use</t>
  </si>
  <si>
    <t>Husband / wife / payment of alimony to former wife</t>
  </si>
  <si>
    <t>Medical Details (self, spouse or child)</t>
  </si>
  <si>
    <t>Disable spouse</t>
  </si>
  <si>
    <t>Medical expenses for serious diseases</t>
  </si>
  <si>
    <t>Medical expenses for fertility treatment</t>
  </si>
  <si>
    <t>Complete medical examination(Restricted RM500)</t>
  </si>
  <si>
    <t>Disabled Person (self, spouse or child)</t>
  </si>
  <si>
    <t>Disabled individual</t>
  </si>
  <si>
    <t>Disabled husband / wife</t>
  </si>
  <si>
    <t>Basic supporting equipment</t>
  </si>
  <si>
    <t>Disabled child(not in higher education)                                   --&gt;</t>
  </si>
  <si>
    <t>Disabled child (in higher education)                                         --&gt;</t>
  </si>
  <si>
    <t>LifeStyle</t>
  </si>
  <si>
    <t>Expenses for lifestyle</t>
  </si>
  <si>
    <t>Purchase of personal computer, smartphone or tablet</t>
  </si>
  <si>
    <t>Tourism</t>
  </si>
  <si>
    <t>Accomodation expenses at premises</t>
  </si>
  <si>
    <t>Total(RM):</t>
  </si>
  <si>
    <t>Chargeable Income(RM)</t>
  </si>
  <si>
    <t>Rate(%)</t>
  </si>
  <si>
    <t>Tax Charged(RM)</t>
  </si>
  <si>
    <t>Total Charged(RM):</t>
  </si>
  <si>
    <t>0 - 5,000</t>
  </si>
  <si>
    <t>Chargeable Income(RM) =</t>
  </si>
  <si>
    <t xml:space="preserve">Each unmarried child(under 18)                                                --&gt; </t>
  </si>
  <si>
    <t xml:space="preserve">Income after exemption(RM) = 60000 - 30000 = </t>
  </si>
  <si>
    <t xml:space="preserve">Instructions: 
1. Users are required to fill in values for yellow colored cells and choose an option for blue coloured cells for each relief type.
2. After filling the value, click on the calculate button to calculate the exempted amount, chargeable income and total tax charged.
3. Total amount of tax to pay will be shown in the red colored cell in the last part of this sheet.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</si>
</sst>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24"/>
      <color rgb="FFFF0000"/>
      <name val="Calibri"/>
      <family val="2"/>
      <scheme val="minor"/>
    </font>
    <font>
      <b/>
      <sz val="10"/>
      <color rgb="FF000000"/>
      <name val="Calibri"/>
      <family val="2"/>
      <scheme val="minor"/>
    </font>
    <font>
      <sz val="10"/>
      <color rgb="FF000000"/>
      <name val="Calibri"/>
      <family val="2"/>
      <scheme val="minor"/>
    </font>
    <font>
      <b/>
      <sz val="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rgb="FF00B0F0"/>
        <bgColor indexed="64"/>
      </patternFill>
    </fill>
    <fill>
      <patternFill patternType="solid">
        <fgColor rgb="FF92D050"/>
        <bgColor indexed="64"/>
      </patternFill>
    </fill>
    <fill>
      <patternFill patternType="solid">
        <fgColor rgb="FFFF0000"/>
        <bgColor indexed="64"/>
      </patternFill>
    </fill>
  </fills>
  <borders count="16">
    <border>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s>
  <cellStyleXfs count="1">
    <xf numFmtId="0" fontId="0" fillId="0" borderId="0"/>
  </cellStyleXfs>
  <cellXfs count="79">
    <xf numFmtId="0" fontId="0" fillId="0" borderId="0" xfId="0"/>
    <xf numFmtId="0" fontId="1" fillId="0" borderId="0" xfId="0" applyFont="1"/>
    <xf numFmtId="0" fontId="0" fillId="0" borderId="0" xfId="0" applyAlignment="1">
      <alignment horizontal="center"/>
    </xf>
    <xf numFmtId="0" fontId="1" fillId="0" borderId="5" xfId="0" applyFont="1" applyBorder="1" applyAlignment="1">
      <alignment horizontal="center"/>
    </xf>
    <xf numFmtId="4" fontId="4" fillId="0" borderId="8" xfId="0" applyNumberFormat="1" applyFont="1" applyBorder="1" applyAlignment="1">
      <alignment horizontal="center" vertical="center" wrapText="1"/>
    </xf>
    <xf numFmtId="0" fontId="4" fillId="4" borderId="7" xfId="0" applyFont="1" applyFill="1" applyBorder="1" applyAlignment="1">
      <alignment vertical="center" wrapText="1"/>
    </xf>
    <xf numFmtId="0" fontId="3" fillId="4" borderId="0" xfId="0" applyFont="1" applyFill="1" applyAlignment="1">
      <alignment horizontal="center" vertical="center" wrapText="1"/>
    </xf>
    <xf numFmtId="0" fontId="3" fillId="4" borderId="9" xfId="0" applyFont="1" applyFill="1" applyBorder="1" applyAlignment="1">
      <alignment vertical="center" wrapText="1"/>
    </xf>
    <xf numFmtId="0" fontId="4" fillId="4" borderId="2" xfId="0" applyFont="1" applyFill="1" applyBorder="1" applyAlignment="1">
      <alignment horizontal="left" vertical="center" wrapText="1"/>
    </xf>
    <xf numFmtId="0" fontId="4" fillId="0" borderId="10" xfId="0" applyFont="1" applyBorder="1"/>
    <xf numFmtId="4" fontId="0" fillId="0" borderId="9" xfId="0" applyNumberFormat="1" applyBorder="1" applyAlignment="1">
      <alignment horizontal="center"/>
    </xf>
    <xf numFmtId="0" fontId="4" fillId="0" borderId="15" xfId="0" applyFont="1" applyBorder="1" applyAlignment="1">
      <alignment wrapText="1"/>
    </xf>
    <xf numFmtId="4" fontId="0" fillId="0" borderId="9" xfId="0" applyNumberFormat="1" applyBorder="1" applyAlignment="1">
      <alignment horizontal="center" vertical="center"/>
    </xf>
    <xf numFmtId="0" fontId="4" fillId="0" borderId="7" xfId="0" applyFont="1" applyBorder="1" applyAlignment="1">
      <alignment wrapText="1"/>
    </xf>
    <xf numFmtId="0" fontId="4" fillId="0" borderId="0" xfId="0" applyFont="1"/>
    <xf numFmtId="4" fontId="0" fillId="0" borderId="15" xfId="0" applyNumberFormat="1" applyBorder="1" applyAlignment="1">
      <alignment horizontal="center"/>
    </xf>
    <xf numFmtId="4" fontId="0" fillId="4" borderId="5" xfId="0" applyNumberFormat="1" applyFill="1" applyBorder="1" applyAlignment="1">
      <alignment horizontal="center"/>
    </xf>
    <xf numFmtId="0" fontId="1" fillId="0" borderId="0" xfId="0" applyFont="1" applyAlignment="1">
      <alignment horizontal="right"/>
    </xf>
    <xf numFmtId="0" fontId="0" fillId="6" borderId="0" xfId="0" applyFill="1" applyAlignment="1">
      <alignment horizontal="right"/>
    </xf>
    <xf numFmtId="4" fontId="1" fillId="6" borderId="0" xfId="0" applyNumberFormat="1" applyFont="1" applyFill="1" applyAlignment="1">
      <alignment horizontal="center"/>
    </xf>
    <xf numFmtId="0" fontId="0" fillId="0" borderId="5" xfId="0" applyBorder="1" applyAlignment="1">
      <alignment horizontal="center"/>
    </xf>
    <xf numFmtId="0" fontId="0" fillId="0" borderId="15" xfId="0" applyBorder="1" applyAlignment="1">
      <alignment horizontal="center"/>
    </xf>
    <xf numFmtId="2" fontId="0" fillId="0" borderId="15" xfId="0" applyNumberFormat="1" applyBorder="1" applyAlignment="1">
      <alignment horizontal="center"/>
    </xf>
    <xf numFmtId="0" fontId="0" fillId="0" borderId="13" xfId="0" applyBorder="1" applyAlignment="1">
      <alignment horizontal="center"/>
    </xf>
    <xf numFmtId="2" fontId="0" fillId="0" borderId="10" xfId="0" applyNumberFormat="1" applyBorder="1" applyAlignment="1">
      <alignment horizontal="center"/>
    </xf>
    <xf numFmtId="4" fontId="0" fillId="0" borderId="13" xfId="0" applyNumberFormat="1" applyBorder="1" applyAlignment="1">
      <alignment horizontal="center"/>
    </xf>
    <xf numFmtId="4" fontId="5" fillId="7" borderId="0" xfId="0" applyNumberFormat="1" applyFont="1" applyFill="1" applyAlignment="1">
      <alignment horizontal="center"/>
    </xf>
    <xf numFmtId="0" fontId="3" fillId="3" borderId="3" xfId="0" applyFont="1" applyFill="1" applyBorder="1" applyAlignment="1">
      <alignment wrapText="1"/>
    </xf>
    <xf numFmtId="0" fontId="3" fillId="3" borderId="6" xfId="0" applyFont="1" applyFill="1" applyBorder="1" applyAlignment="1">
      <alignment wrapText="1"/>
    </xf>
    <xf numFmtId="0" fontId="3" fillId="3" borderId="4" xfId="0" applyFont="1" applyFill="1" applyBorder="1" applyAlignment="1">
      <alignment wrapText="1"/>
    </xf>
    <xf numFmtId="0" fontId="3" fillId="3" borderId="3" xfId="0" applyFont="1" applyFill="1" applyBorder="1" applyAlignment="1"/>
    <xf numFmtId="0" fontId="3" fillId="3" borderId="6" xfId="0" applyFont="1" applyFill="1" applyBorder="1" applyAlignment="1"/>
    <xf numFmtId="0" fontId="3" fillId="3" borderId="4" xfId="0" applyFont="1" applyFill="1" applyBorder="1" applyAlignment="1"/>
    <xf numFmtId="0" fontId="1" fillId="3" borderId="3" xfId="0" applyFont="1" applyFill="1" applyBorder="1" applyAlignment="1"/>
    <xf numFmtId="0" fontId="1" fillId="3" borderId="6" xfId="0" applyFont="1" applyFill="1" applyBorder="1" applyAlignment="1"/>
    <xf numFmtId="0" fontId="1" fillId="3" borderId="4" xfId="0" applyFont="1" applyFill="1" applyBorder="1" applyAlignment="1"/>
    <xf numFmtId="3" fontId="0" fillId="2" borderId="0" xfId="0" applyNumberFormat="1" applyFill="1" applyAlignment="1" applyProtection="1">
      <alignment horizontal="center"/>
      <protection locked="0"/>
    </xf>
    <xf numFmtId="4" fontId="0" fillId="2" borderId="5" xfId="0" applyNumberFormat="1" applyFill="1" applyBorder="1" applyAlignment="1" applyProtection="1">
      <alignment horizontal="center"/>
      <protection locked="0"/>
    </xf>
    <xf numFmtId="2" fontId="4" fillId="2" borderId="5" xfId="0" applyNumberFormat="1" applyFont="1" applyFill="1" applyBorder="1" applyAlignment="1" applyProtection="1">
      <alignment horizontal="center" vertical="center" wrapText="1"/>
      <protection locked="0"/>
    </xf>
    <xf numFmtId="0" fontId="4" fillId="5" borderId="5" xfId="0" applyFont="1" applyFill="1" applyBorder="1" applyAlignment="1" applyProtection="1">
      <alignment horizontal="center" vertical="center" wrapText="1"/>
      <protection locked="0"/>
    </xf>
    <xf numFmtId="0" fontId="4" fillId="2" borderId="5" xfId="0" applyFont="1" applyFill="1" applyBorder="1" applyAlignment="1" applyProtection="1">
      <alignment horizontal="center"/>
      <protection locked="0"/>
    </xf>
    <xf numFmtId="4" fontId="0" fillId="2" borderId="11" xfId="0" applyNumberFormat="1" applyFill="1" applyBorder="1" applyAlignment="1" applyProtection="1">
      <alignment horizontal="center"/>
      <protection locked="0"/>
    </xf>
    <xf numFmtId="2" fontId="4" fillId="2" borderId="5" xfId="0" applyNumberFormat="1" applyFont="1" applyFill="1" applyBorder="1" applyAlignment="1" applyProtection="1">
      <alignment horizontal="center"/>
      <protection locked="0"/>
    </xf>
    <xf numFmtId="0" fontId="4" fillId="5" borderId="5" xfId="0" applyFont="1" applyFill="1" applyBorder="1" applyAlignment="1" applyProtection="1">
      <alignment horizontal="center"/>
      <protection locked="0"/>
    </xf>
    <xf numFmtId="4" fontId="0" fillId="2" borderId="15" xfId="0" applyNumberFormat="1" applyFill="1" applyBorder="1" applyAlignment="1" applyProtection="1">
      <alignment horizontal="center"/>
      <protection locked="0"/>
    </xf>
    <xf numFmtId="4" fontId="0" fillId="2" borderId="13" xfId="0" applyNumberFormat="1" applyFill="1" applyBorder="1" applyAlignment="1" applyProtection="1">
      <alignment horizontal="center"/>
      <protection locked="0"/>
    </xf>
    <xf numFmtId="0" fontId="4" fillId="0" borderId="0" xfId="0" applyFont="1"/>
    <xf numFmtId="0" fontId="4" fillId="0" borderId="10" xfId="0" applyFont="1" applyBorder="1"/>
    <xf numFmtId="0" fontId="4" fillId="0" borderId="2" xfId="0" applyFont="1" applyBorder="1"/>
    <xf numFmtId="0" fontId="4" fillId="0" borderId="11" xfId="0" applyFont="1" applyBorder="1"/>
    <xf numFmtId="0" fontId="4" fillId="0" borderId="0" xfId="0" applyFont="1"/>
    <xf numFmtId="0" fontId="4" fillId="0" borderId="9" xfId="0" applyFont="1" applyBorder="1"/>
    <xf numFmtId="4" fontId="0" fillId="0" borderId="12" xfId="0" applyNumberFormat="1" applyBorder="1" applyAlignment="1">
      <alignment horizontal="center" vertical="center"/>
    </xf>
    <xf numFmtId="4" fontId="0" fillId="0" borderId="15" xfId="0" applyNumberFormat="1" applyBorder="1" applyAlignment="1">
      <alignment horizontal="center" vertical="center"/>
    </xf>
    <xf numFmtId="4" fontId="0" fillId="0" borderId="13" xfId="0" applyNumberFormat="1" applyBorder="1" applyAlignment="1">
      <alignment horizontal="center" vertical="center"/>
    </xf>
    <xf numFmtId="0" fontId="4" fillId="0" borderId="10" xfId="0" applyFont="1" applyBorder="1"/>
    <xf numFmtId="0" fontId="1" fillId="0" borderId="7" xfId="0" applyFont="1" applyBorder="1" applyAlignment="1">
      <alignment horizontal="right"/>
    </xf>
    <xf numFmtId="0" fontId="4" fillId="0" borderId="7" xfId="0" applyFont="1" applyBorder="1"/>
    <xf numFmtId="0" fontId="4" fillId="0" borderId="8" xfId="0" applyFont="1" applyBorder="1"/>
    <xf numFmtId="0" fontId="2" fillId="0" borderId="0" xfId="0" applyFont="1" applyAlignment="1">
      <alignment horizontal="center"/>
    </xf>
    <xf numFmtId="0" fontId="0" fillId="0" borderId="0" xfId="0" applyAlignment="1">
      <alignment horizontal="left" wrapText="1"/>
    </xf>
    <xf numFmtId="0" fontId="3" fillId="0" borderId="1" xfId="0" applyFont="1" applyBorder="1" applyAlignment="1">
      <alignment horizontal="left"/>
    </xf>
    <xf numFmtId="0" fontId="3" fillId="0" borderId="2" xfId="0" applyFont="1" applyBorder="1" applyAlignment="1">
      <alignment horizontal="left"/>
    </xf>
    <xf numFmtId="0" fontId="3" fillId="0" borderId="3" xfId="0" applyFont="1" applyBorder="1"/>
    <xf numFmtId="0" fontId="3" fillId="0" borderId="4" xfId="0" applyFont="1" applyBorder="1"/>
    <xf numFmtId="0" fontId="3" fillId="3" borderId="3" xfId="0" applyFont="1" applyFill="1" applyBorder="1" applyAlignment="1">
      <alignment horizontal="left"/>
    </xf>
    <xf numFmtId="0" fontId="3" fillId="3" borderId="6" xfId="0" applyFont="1" applyFill="1" applyBorder="1" applyAlignment="1">
      <alignment horizontal="left"/>
    </xf>
    <xf numFmtId="0" fontId="3" fillId="3" borderId="4" xfId="0" applyFont="1" applyFill="1" applyBorder="1" applyAlignment="1">
      <alignment horizontal="left"/>
    </xf>
    <xf numFmtId="4" fontId="0" fillId="4" borderId="12" xfId="0" applyNumberFormat="1" applyFill="1" applyBorder="1" applyAlignment="1">
      <alignment horizontal="center" vertical="center"/>
    </xf>
    <xf numFmtId="4" fontId="0" fillId="4" borderId="9" xfId="0" applyNumberFormat="1" applyFill="1" applyBorder="1" applyAlignment="1">
      <alignment horizontal="center" vertical="center"/>
    </xf>
    <xf numFmtId="4" fontId="0" fillId="4" borderId="13" xfId="0" applyNumberFormat="1" applyFill="1" applyBorder="1" applyAlignment="1">
      <alignment horizontal="center" vertical="center"/>
    </xf>
    <xf numFmtId="0" fontId="0" fillId="0" borderId="14" xfId="0" applyBorder="1"/>
    <xf numFmtId="0" fontId="0" fillId="0" borderId="8" xfId="0" applyBorder="1"/>
    <xf numFmtId="0" fontId="0" fillId="0" borderId="15" xfId="0" applyBorder="1"/>
    <xf numFmtId="0" fontId="0" fillId="0" borderId="9" xfId="0" applyBorder="1"/>
    <xf numFmtId="0" fontId="4" fillId="0" borderId="1" xfId="0" applyFont="1" applyBorder="1"/>
    <xf numFmtId="0" fontId="0" fillId="0" borderId="10" xfId="0" applyBorder="1"/>
    <xf numFmtId="0" fontId="0" fillId="0" borderId="0" xfId="0" applyAlignment="1">
      <alignment horizontal="left"/>
    </xf>
    <xf numFmtId="0" fontId="0" fillId="0" borderId="9" xfId="0" applyBorder="1" applyAlignment="1">
      <alignment horizontal="left"/>
    </xf>
  </cellXfs>
  <cellStyles count="1">
    <cellStyle name="Normal" xfId="0" builtinId="0"/>
  </cellStyles>
  <dxfs count="2">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701040</xdr:colOff>
          <xdr:row>44</xdr:row>
          <xdr:rowOff>0</xdr:rowOff>
        </xdr:from>
        <xdr:to>
          <xdr:col>3</xdr:col>
          <xdr:colOff>7620</xdr:colOff>
          <xdr:row>46</xdr:row>
          <xdr:rowOff>0</xdr:rowOff>
        </xdr:to>
        <xdr:sp macro="" textlink="">
          <xdr:nvSpPr>
            <xdr:cNvPr id="1025" name="btn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2362200</xdr:colOff>
          <xdr:row>44</xdr:row>
          <xdr:rowOff>0</xdr:rowOff>
        </xdr:from>
        <xdr:to>
          <xdr:col>1</xdr:col>
          <xdr:colOff>289560</xdr:colOff>
          <xdr:row>45</xdr:row>
          <xdr:rowOff>175260</xdr:rowOff>
        </xdr:to>
        <xdr:sp macro="" textlink="">
          <xdr:nvSpPr>
            <xdr:cNvPr id="1026" name="btnRese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693420</xdr:colOff>
          <xdr:row>44</xdr:row>
          <xdr:rowOff>22860</xdr:rowOff>
        </xdr:from>
        <xdr:to>
          <xdr:col>2</xdr:col>
          <xdr:colOff>1143000</xdr:colOff>
          <xdr:row>46</xdr:row>
          <xdr:rowOff>22860</xdr:rowOff>
        </xdr:to>
        <xdr:sp macro="" textlink="">
          <xdr:nvSpPr>
            <xdr:cNvPr id="2053" name="btnCalculat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2354580</xdr:colOff>
          <xdr:row>44</xdr:row>
          <xdr:rowOff>22860</xdr:rowOff>
        </xdr:from>
        <xdr:to>
          <xdr:col>1</xdr:col>
          <xdr:colOff>281940</xdr:colOff>
          <xdr:row>46</xdr:row>
          <xdr:rowOff>15240</xdr:rowOff>
        </xdr:to>
        <xdr:sp macro="" textlink="">
          <xdr:nvSpPr>
            <xdr:cNvPr id="2054" name="btnReset"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4.xml"/><Relationship Id="rId4"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5987-A600-4006-A9A4-CE3E6F7331A0}">
  <sheetPr codeName="Sheet1"/>
  <dimension ref="A1:Q62"/>
  <sheetViews>
    <sheetView zoomScale="85" zoomScaleNormal="85" workbookViewId="0">
      <selection sqref="A1:E1"/>
    </sheetView>
  </sheetViews>
  <sheetFormatPr defaultRowHeight="14.4" x14ac:dyDescent="0.3"/>
  <cols>
    <col min="1" max="1" width="48.77734375" bestFit="1" customWidth="1"/>
    <col min="2" max="2" width="11.6640625" customWidth="1"/>
    <col min="3" max="3" width="16.77734375" customWidth="1"/>
    <col min="5" max="5" width="21.109375" customWidth="1"/>
    <col min="16" max="16" width="26.33203125" hidden="1" customWidth="1"/>
    <col min="17" max="17" width="0" hidden="1" customWidth="1"/>
  </cols>
  <sheetData>
    <row r="1" spans="1:17" ht="31.2" x14ac:dyDescent="0.6">
      <c r="A1" s="59" t="s">
        <v>0</v>
      </c>
      <c r="B1" s="59"/>
      <c r="C1" s="59"/>
      <c r="D1" s="59"/>
      <c r="E1" s="59"/>
    </row>
    <row r="3" spans="1:17" ht="69.599999999999994" customHeight="1" x14ac:dyDescent="0.3">
      <c r="A3" s="60" t="s">
        <v>56</v>
      </c>
      <c r="B3" s="60"/>
      <c r="C3" s="60"/>
      <c r="D3" s="60"/>
      <c r="E3" s="60"/>
    </row>
    <row r="5" spans="1:17" x14ac:dyDescent="0.3">
      <c r="A5" s="1" t="s">
        <v>1</v>
      </c>
      <c r="B5" s="36"/>
      <c r="C5" t="s">
        <v>2</v>
      </c>
    </row>
    <row r="7" spans="1:17" x14ac:dyDescent="0.3">
      <c r="A7" s="61" t="s">
        <v>3</v>
      </c>
      <c r="B7" s="62"/>
      <c r="C7" s="62"/>
      <c r="D7" s="2"/>
    </row>
    <row r="8" spans="1:17" x14ac:dyDescent="0.3">
      <c r="A8" s="63" t="s">
        <v>4</v>
      </c>
      <c r="B8" s="64"/>
      <c r="C8" s="3" t="s">
        <v>5</v>
      </c>
      <c r="D8" s="2"/>
    </row>
    <row r="9" spans="1:17" x14ac:dyDescent="0.3">
      <c r="A9" s="65" t="s">
        <v>6</v>
      </c>
      <c r="B9" s="66"/>
      <c r="C9" s="67"/>
      <c r="D9" s="2"/>
    </row>
    <row r="10" spans="1:17" x14ac:dyDescent="0.3">
      <c r="A10" s="57" t="s">
        <v>7</v>
      </c>
      <c r="B10" s="58"/>
      <c r="C10" s="4">
        <v>9000</v>
      </c>
      <c r="D10" s="2"/>
    </row>
    <row r="11" spans="1:17" x14ac:dyDescent="0.3">
      <c r="A11" s="50" t="s">
        <v>8</v>
      </c>
      <c r="B11" s="51"/>
      <c r="C11" s="37">
        <v>0</v>
      </c>
      <c r="D11" s="2"/>
    </row>
    <row r="12" spans="1:17" x14ac:dyDescent="0.3">
      <c r="A12" s="74" t="s">
        <v>9</v>
      </c>
      <c r="B12" s="74"/>
      <c r="C12" s="37">
        <v>0</v>
      </c>
      <c r="D12" s="2"/>
    </row>
    <row r="13" spans="1:17" x14ac:dyDescent="0.3">
      <c r="A13" s="76" t="s">
        <v>10</v>
      </c>
      <c r="B13" s="74"/>
      <c r="C13" s="37">
        <v>0</v>
      </c>
      <c r="D13" s="2"/>
    </row>
    <row r="14" spans="1:17" x14ac:dyDescent="0.3">
      <c r="A14" s="77" t="s">
        <v>11</v>
      </c>
      <c r="B14" s="78"/>
      <c r="C14" s="37">
        <v>0</v>
      </c>
      <c r="D14" s="2"/>
    </row>
    <row r="15" spans="1:17" x14ac:dyDescent="0.3">
      <c r="A15" s="51" t="s">
        <v>12</v>
      </c>
      <c r="B15" s="51"/>
      <c r="C15" s="37">
        <v>0</v>
      </c>
      <c r="D15" s="2"/>
      <c r="P15" t="s">
        <v>13</v>
      </c>
    </row>
    <row r="16" spans="1:17" x14ac:dyDescent="0.3">
      <c r="A16" s="48" t="s">
        <v>14</v>
      </c>
      <c r="B16" s="49"/>
      <c r="C16" s="37">
        <v>0</v>
      </c>
      <c r="D16" s="2"/>
      <c r="P16" t="s">
        <v>15</v>
      </c>
      <c r="Q16">
        <v>1500</v>
      </c>
    </row>
    <row r="17" spans="1:17" x14ac:dyDescent="0.3">
      <c r="A17" s="27" t="s">
        <v>16</v>
      </c>
      <c r="B17" s="28"/>
      <c r="C17" s="29"/>
      <c r="D17" s="2"/>
      <c r="P17" t="s">
        <v>17</v>
      </c>
      <c r="Q17">
        <v>3000</v>
      </c>
    </row>
    <row r="18" spans="1:17" x14ac:dyDescent="0.3">
      <c r="A18" s="5" t="s">
        <v>18</v>
      </c>
      <c r="B18" s="38">
        <v>0</v>
      </c>
      <c r="C18" s="68">
        <f>MAX(B18,VLOOKUP(B20,P16:Q18,2,FALSE))</f>
        <v>0</v>
      </c>
      <c r="D18" s="2"/>
      <c r="P18" t="s">
        <v>19</v>
      </c>
      <c r="Q18">
        <v>0</v>
      </c>
    </row>
    <row r="19" spans="1:17" x14ac:dyDescent="0.3">
      <c r="A19" s="6" t="s">
        <v>20</v>
      </c>
      <c r="B19" s="7"/>
      <c r="C19" s="69"/>
      <c r="D19" s="2"/>
    </row>
    <row r="20" spans="1:17" x14ac:dyDescent="0.3">
      <c r="A20" s="8" t="s">
        <v>21</v>
      </c>
      <c r="B20" s="39" t="s">
        <v>19</v>
      </c>
      <c r="C20" s="70"/>
      <c r="D20" s="2"/>
    </row>
    <row r="21" spans="1:17" x14ac:dyDescent="0.3">
      <c r="A21" s="30" t="s">
        <v>22</v>
      </c>
      <c r="B21" s="31"/>
      <c r="C21" s="32"/>
      <c r="D21" s="2"/>
    </row>
    <row r="22" spans="1:17" x14ac:dyDescent="0.3">
      <c r="A22" s="71" t="s">
        <v>23</v>
      </c>
      <c r="B22" s="72"/>
      <c r="C22" s="37">
        <v>0</v>
      </c>
      <c r="D22" s="2"/>
    </row>
    <row r="23" spans="1:17" x14ac:dyDescent="0.3">
      <c r="A23" s="9" t="s">
        <v>54</v>
      </c>
      <c r="B23" s="40">
        <v>0</v>
      </c>
      <c r="C23" s="10">
        <f>2000*B23</f>
        <v>0</v>
      </c>
      <c r="P23" t="s">
        <v>24</v>
      </c>
    </row>
    <row r="24" spans="1:17" x14ac:dyDescent="0.3">
      <c r="A24" s="11" t="s">
        <v>25</v>
      </c>
      <c r="B24" s="40">
        <v>0</v>
      </c>
      <c r="C24" s="12">
        <f>2000*B24</f>
        <v>0</v>
      </c>
      <c r="P24" t="s">
        <v>26</v>
      </c>
      <c r="Q24">
        <v>6000</v>
      </c>
    </row>
    <row r="25" spans="1:17" x14ac:dyDescent="0.3">
      <c r="A25" s="11" t="s">
        <v>27</v>
      </c>
      <c r="B25" s="40">
        <v>0</v>
      </c>
      <c r="C25" s="12">
        <f>8000*B25</f>
        <v>0</v>
      </c>
      <c r="P25" t="s">
        <v>28</v>
      </c>
      <c r="Q25">
        <v>0</v>
      </c>
    </row>
    <row r="26" spans="1:17" x14ac:dyDescent="0.3">
      <c r="A26" s="73" t="s">
        <v>29</v>
      </c>
      <c r="B26" s="74"/>
      <c r="C26" s="37">
        <v>0</v>
      </c>
    </row>
    <row r="27" spans="1:17" x14ac:dyDescent="0.3">
      <c r="A27" s="75" t="s">
        <v>30</v>
      </c>
      <c r="B27" s="49"/>
      <c r="C27" s="41">
        <v>0</v>
      </c>
    </row>
    <row r="28" spans="1:17" x14ac:dyDescent="0.3">
      <c r="A28" s="33" t="s">
        <v>31</v>
      </c>
      <c r="B28" s="34"/>
      <c r="C28" s="35"/>
      <c r="P28" t="s">
        <v>32</v>
      </c>
    </row>
    <row r="29" spans="1:17" x14ac:dyDescent="0.3">
      <c r="A29" s="13" t="s">
        <v>33</v>
      </c>
      <c r="B29" s="42">
        <v>0</v>
      </c>
      <c r="C29" s="52">
        <f>IF(B29+B30+B31&gt;6000, 6000, B29+B30+B31)</f>
        <v>0</v>
      </c>
      <c r="P29" t="s">
        <v>26</v>
      </c>
      <c r="Q29">
        <v>3500</v>
      </c>
    </row>
    <row r="30" spans="1:17" x14ac:dyDescent="0.3">
      <c r="A30" s="14" t="s">
        <v>34</v>
      </c>
      <c r="B30" s="42">
        <v>0</v>
      </c>
      <c r="C30" s="53"/>
      <c r="P30" t="s">
        <v>28</v>
      </c>
      <c r="Q30">
        <v>0</v>
      </c>
    </row>
    <row r="31" spans="1:17" x14ac:dyDescent="0.3">
      <c r="A31" s="14" t="s">
        <v>35</v>
      </c>
      <c r="B31" s="42">
        <v>0</v>
      </c>
      <c r="C31" s="54"/>
    </row>
    <row r="32" spans="1:17" x14ac:dyDescent="0.3">
      <c r="A32" s="30" t="s">
        <v>36</v>
      </c>
      <c r="B32" s="31"/>
      <c r="C32" s="32"/>
    </row>
    <row r="33" spans="1:3" x14ac:dyDescent="0.3">
      <c r="A33" s="9" t="s">
        <v>37</v>
      </c>
      <c r="B33" s="43" t="s">
        <v>28</v>
      </c>
      <c r="C33" s="15">
        <f>VLOOKUP(B33,P24:Q25,2,FALSE)</f>
        <v>0</v>
      </c>
    </row>
    <row r="34" spans="1:3" x14ac:dyDescent="0.3">
      <c r="A34" s="9" t="s">
        <v>38</v>
      </c>
      <c r="B34" s="43" t="s">
        <v>28</v>
      </c>
      <c r="C34" s="15">
        <f>VLOOKUP(B34,P29:Q30,2,FALSE)</f>
        <v>0</v>
      </c>
    </row>
    <row r="35" spans="1:3" x14ac:dyDescent="0.3">
      <c r="A35" s="55" t="s">
        <v>39</v>
      </c>
      <c r="B35" s="51"/>
      <c r="C35" s="37">
        <v>0</v>
      </c>
    </row>
    <row r="36" spans="1:3" x14ac:dyDescent="0.3">
      <c r="A36" s="9" t="s">
        <v>40</v>
      </c>
      <c r="B36" s="40">
        <v>0</v>
      </c>
      <c r="C36" s="16">
        <f>B36*6000</f>
        <v>0</v>
      </c>
    </row>
    <row r="37" spans="1:3" x14ac:dyDescent="0.3">
      <c r="A37" s="9" t="s">
        <v>41</v>
      </c>
      <c r="B37" s="40">
        <v>0</v>
      </c>
      <c r="C37" s="15">
        <f>(6000+8000)*B37</f>
        <v>0</v>
      </c>
    </row>
    <row r="38" spans="1:3" x14ac:dyDescent="0.3">
      <c r="A38" s="30" t="s">
        <v>42</v>
      </c>
      <c r="B38" s="31"/>
      <c r="C38" s="32"/>
    </row>
    <row r="39" spans="1:3" x14ac:dyDescent="0.3">
      <c r="A39" s="50" t="s">
        <v>43</v>
      </c>
      <c r="B39" s="51"/>
      <c r="C39" s="37">
        <v>0</v>
      </c>
    </row>
    <row r="40" spans="1:3" x14ac:dyDescent="0.3">
      <c r="A40" s="50" t="s">
        <v>44</v>
      </c>
      <c r="B40" s="51"/>
      <c r="C40" s="44">
        <v>0</v>
      </c>
    </row>
    <row r="41" spans="1:3" x14ac:dyDescent="0.3">
      <c r="A41" s="30" t="s">
        <v>45</v>
      </c>
      <c r="B41" s="31"/>
      <c r="C41" s="32"/>
    </row>
    <row r="42" spans="1:3" x14ac:dyDescent="0.3">
      <c r="A42" s="48" t="s">
        <v>46</v>
      </c>
      <c r="B42" s="49"/>
      <c r="C42" s="45">
        <v>0</v>
      </c>
    </row>
    <row r="43" spans="1:3" x14ac:dyDescent="0.3">
      <c r="B43" s="17" t="s">
        <v>47</v>
      </c>
      <c r="C43" s="19"/>
    </row>
    <row r="48" spans="1:3" x14ac:dyDescent="0.3">
      <c r="A48" s="18" t="s">
        <v>53</v>
      </c>
      <c r="B48" s="19">
        <v>0</v>
      </c>
    </row>
    <row r="49" spans="1:4" x14ac:dyDescent="0.3">
      <c r="A49" s="20" t="s">
        <v>48</v>
      </c>
      <c r="B49" s="20" t="s">
        <v>49</v>
      </c>
      <c r="C49" s="20" t="s">
        <v>50</v>
      </c>
      <c r="D49" s="14"/>
    </row>
    <row r="50" spans="1:4" x14ac:dyDescent="0.3">
      <c r="A50" s="21" t="s">
        <v>52</v>
      </c>
      <c r="B50" s="22">
        <f>IF(A50="","",0)</f>
        <v>0</v>
      </c>
      <c r="C50" s="15">
        <f>5000*0</f>
        <v>0</v>
      </c>
    </row>
    <row r="51" spans="1:4" x14ac:dyDescent="0.3">
      <c r="A51" s="21" t="str">
        <f>IF(B5&lt;34000,"", IF(B48&lt;=5000,"","5,001 - 20,000"))</f>
        <v/>
      </c>
      <c r="B51" s="22" t="str">
        <f>IF(A51="","",1)</f>
        <v/>
      </c>
      <c r="C51" s="15" t="str">
        <f>IF(B51="","",15000*(B51%))</f>
        <v/>
      </c>
    </row>
    <row r="52" spans="1:4" x14ac:dyDescent="0.3">
      <c r="A52" s="21" t="str">
        <f>IF(B5&lt;34000,"",IF(B48&lt;=20000,"","20,001 - 35,000"))</f>
        <v/>
      </c>
      <c r="B52" s="22" t="str">
        <f>IF(A52="","",3)</f>
        <v/>
      </c>
      <c r="C52" s="15" t="str">
        <f>IF(B52="","",IF($B$48&gt;35000,ROUND(15000*B52%,2),ROUND(($B$48-20000)*B52%,2)))</f>
        <v/>
      </c>
    </row>
    <row r="53" spans="1:4" x14ac:dyDescent="0.3">
      <c r="A53" s="21" t="str">
        <f>IF(B48&lt;=35000,"","35,001 - 50,000")</f>
        <v/>
      </c>
      <c r="B53" s="22" t="str">
        <f>IF(A53="","",8)</f>
        <v/>
      </c>
      <c r="C53" s="15" t="str">
        <f>IF(B53="","",IF($B$48&gt;50000,ROUND(15000*B53%,2),ROUND(($B$48-35000)*B53%,2)))</f>
        <v/>
      </c>
    </row>
    <row r="54" spans="1:4" x14ac:dyDescent="0.3">
      <c r="A54" s="21" t="str">
        <f>IF(B48&lt;=50000,"","50,001 - 70,000")</f>
        <v/>
      </c>
      <c r="B54" s="22" t="str">
        <f>IF(A54="","",14)</f>
        <v/>
      </c>
      <c r="C54" s="15" t="str">
        <f>IF(B54="","",IF($B$48&gt;70000,ROUND(20000*B54%,2),ROUND(($B$48-50000)*B54%,2)))</f>
        <v/>
      </c>
    </row>
    <row r="55" spans="1:4" x14ac:dyDescent="0.3">
      <c r="A55" s="21" t="str">
        <f>IF(B48&lt;=70000,"","70,001 - 100,000")</f>
        <v/>
      </c>
      <c r="B55" s="22" t="str">
        <f>IF(A55="","",21)</f>
        <v/>
      </c>
      <c r="C55" s="15" t="str">
        <f>IF(B55="","",IF($B$48&gt;100000,ROUND(30000*B55%,2),ROUND(($B$48-70000)*B55%,2)))</f>
        <v/>
      </c>
    </row>
    <row r="56" spans="1:4" x14ac:dyDescent="0.3">
      <c r="A56" s="21" t="str">
        <f>IF(B48&lt;=100000,"","100,001 - 250,000")</f>
        <v/>
      </c>
      <c r="B56" s="22" t="str">
        <f>IF(A56="","",24)</f>
        <v/>
      </c>
      <c r="C56" s="15" t="str">
        <f>IF(B56="","",IF($B$48&gt;250000,ROUND(150000*B56%,2),ROUND(($B$48-100000)*B56%,2)))</f>
        <v/>
      </c>
    </row>
    <row r="57" spans="1:4" x14ac:dyDescent="0.3">
      <c r="A57" s="21" t="str">
        <f>IF(B48&lt;=250000,"","250,001 - 400,000")</f>
        <v/>
      </c>
      <c r="B57" s="22" t="str">
        <f>IF(A57="","",24.5)</f>
        <v/>
      </c>
      <c r="C57" s="15" t="str">
        <f>IF(B57="","",IF($B$48&gt;400000,ROUND(150000*B57%,2),ROUND(($B$48-250000)*B57%,2)))</f>
        <v/>
      </c>
    </row>
    <row r="58" spans="1:4" x14ac:dyDescent="0.3">
      <c r="A58" s="21" t="str">
        <f>IF(B48&lt;=400000,"","400,001 - 600,000")</f>
        <v/>
      </c>
      <c r="B58" s="22" t="str">
        <f>IF(A58="","",25)</f>
        <v/>
      </c>
      <c r="C58" s="15" t="str">
        <f>IF(B58="","",IF($B$48&gt;600000,ROUND(200000*B58%,2),ROUND(($B$48-400000)*B58%,2)))</f>
        <v/>
      </c>
    </row>
    <row r="59" spans="1:4" x14ac:dyDescent="0.3">
      <c r="A59" s="21" t="str">
        <f>IF(B48&lt;=600000,"","600,001 - 1,000,000")</f>
        <v/>
      </c>
      <c r="B59" s="22" t="str">
        <f>IF(A59="","",26)</f>
        <v/>
      </c>
      <c r="C59" s="15" t="str">
        <f>IF(B59="","",IF($B$48&gt;1000000,ROUND(400000*B59%,2),ROUND(($B$48-600000)*B59%,2)))</f>
        <v/>
      </c>
    </row>
    <row r="60" spans="1:4" x14ac:dyDescent="0.3">
      <c r="A60" s="21" t="str">
        <f>IF(B48&lt;=1000000,"","1,000,001 - 2,000,000")</f>
        <v/>
      </c>
      <c r="B60" s="22" t="str">
        <f>IF(A60="","",28)</f>
        <v/>
      </c>
      <c r="C60" s="15" t="str">
        <f>IF(B60="","",IF($B$48&gt;2000000,ROUND(1000000*B60%,2),ROUND(($B$48-1000000)*B60%,2)))</f>
        <v/>
      </c>
    </row>
    <row r="61" spans="1:4" x14ac:dyDescent="0.3">
      <c r="A61" s="23" t="str">
        <f>IF(B48&lt;=2000000,"","Exceding 2,000,000")</f>
        <v/>
      </c>
      <c r="B61" s="24" t="str">
        <f>IF(A61="","",30)</f>
        <v/>
      </c>
      <c r="C61" s="25" t="str">
        <f>IF(B61="","",ROUND(($B$48-2000000)*B61%,2))</f>
        <v/>
      </c>
    </row>
    <row r="62" spans="1:4" x14ac:dyDescent="0.3">
      <c r="A62" s="56" t="s">
        <v>51</v>
      </c>
      <c r="B62" s="56"/>
      <c r="C62" s="26">
        <f>SUM(C50:C61)</f>
        <v>0</v>
      </c>
    </row>
  </sheetData>
  <sheetProtection sheet="1" objects="1" scenarios="1"/>
  <mergeCells count="22">
    <mergeCell ref="A62:B62"/>
    <mergeCell ref="A10:B10"/>
    <mergeCell ref="A1:E1"/>
    <mergeCell ref="A3:E3"/>
    <mergeCell ref="A7:C7"/>
    <mergeCell ref="A8:B8"/>
    <mergeCell ref="A9:C9"/>
    <mergeCell ref="C18:C20"/>
    <mergeCell ref="A22:B22"/>
    <mergeCell ref="A26:B26"/>
    <mergeCell ref="A27:B27"/>
    <mergeCell ref="A11:B11"/>
    <mergeCell ref="A12:B12"/>
    <mergeCell ref="A13:B13"/>
    <mergeCell ref="A14:B14"/>
    <mergeCell ref="A15:B15"/>
    <mergeCell ref="A16:B16"/>
    <mergeCell ref="A40:B40"/>
    <mergeCell ref="A42:B42"/>
    <mergeCell ref="C29:C31"/>
    <mergeCell ref="A35:B35"/>
    <mergeCell ref="A39:B39"/>
  </mergeCells>
  <conditionalFormatting sqref="C18">
    <cfRule type="expression" dxfId="1" priority="1">
      <formula>MATCH($A$18,$P$15:$P$18,0)=1</formula>
    </cfRule>
  </conditionalFormatting>
  <dataValidations xWindow="521" yWindow="580" count="31">
    <dataValidation type="list" showInputMessage="1" showErrorMessage="1" errorTitle="Invalid Input" error="Please choose an option." prompt="RM6,000 reliefs for disabled individual." sqref="B33" xr:uid="{04FE8435-7211-43BC-BA1C-F27239C62891}">
      <formula1>$P$24:$P$25</formula1>
    </dataValidation>
    <dataValidation type="decimal" showInputMessage="1" showErrorMessage="1" errorTitle="Invalid Input" error="Invalid format of input or the value exceed the restricted amount." prompt="Life insurance premium and EPF paid (Restricted to RM7,000)." sqref="C13" xr:uid="{999E77FD-6B7C-45BC-907E-093A51B40873}">
      <formula1>0</formula1>
      <formula2>7000</formula2>
    </dataValidation>
    <dataValidation type="decimal" showInputMessage="1" showErrorMessage="1" errorTitle="Invalid Input" error="Invalid format of input or the value exceed the restricted amount." prompt="Contribution to the Social Security Organization (SOCSO) (Restricted to RM250)." sqref="C12" xr:uid="{1932D956-92C3-4CFC-A563-395B7C176E35}">
      <formula1>0</formula1>
      <formula2>250</formula2>
    </dataValidation>
    <dataValidation type="decimal" allowBlank="1" showInputMessage="1" showErrorMessage="1" sqref="C13" xr:uid="{DE36DD6B-481B-48B2-9C9F-39D59B0EE0B9}">
      <formula1>0</formula1>
      <formula2>7000</formula2>
    </dataValidation>
    <dataValidation type="decimal" allowBlank="1" showInputMessage="1" showErrorMessage="1" errorTitle="Invalid Input" error="Invalid format of input or the value exceed the restricted amount." prompt="PRS approved by Securities Commission (Restricted to RM3,000)" sqref="C15" xr:uid="{F38A59A6-CAE1-4DEE-BF75-9A9888B9F963}">
      <formula1>0</formula1>
      <formula2>3000</formula2>
    </dataValidation>
    <dataValidation type="decimal" showInputMessage="1" showErrorMessage="1" errorTitle="Invalid Input" error="Invalid format of input or the value exceed the restricted amount." prompt="Net savings in SSPN account for children's PTPTN (Restricted to RM8,000)." sqref="C16" xr:uid="{6A88A5DD-E1EE-4273-BEE9-C0E92761AB28}">
      <formula1>0</formula1>
      <formula2>8000</formula2>
    </dataValidation>
    <dataValidation type="whole" operator="equal" showInputMessage="1" showErrorMessage="1" prompt="Tax relief of RM9,000 for an individual." sqref="C10" xr:uid="{A69CDC65-CA82-4A9E-9C0D-2C00292F8ABD}">
      <formula1>9000</formula1>
    </dataValidation>
    <dataValidation type="decimal" showInputMessage="1" showErrorMessage="1" errorTitle="Invalid Input" error="Invalid format of input or the value exceed the restricted amount." prompt="Child care fees to a registered child care centre / kindergarten for a child aged 6 years and below (Restricted to RM3,000)." sqref="C22" xr:uid="{FCDA2DAB-0CE4-43CB-8410-968D81ED4606}">
      <formula1>0</formula1>
      <formula2>3000</formula2>
    </dataValidation>
    <dataValidation type="decimal" allowBlank="1" showInputMessage="1" showErrorMessage="1" errorTitle="Invalid Input" error="Invalid format of input or the value exceed the restricted amount." prompt="Accomodation expenses at premises registered with the Ministry of Tourism, Arts and Culture Malaysia and entrance fees to tourists attractions incurred on or after 1st March 2020 (Restricted to RM1,000)." sqref="C42" xr:uid="{1396A32A-A12A-46FC-919C-176540E655BF}">
      <formula1>0</formula1>
      <formula2>1000</formula2>
    </dataValidation>
    <dataValidation type="decimal" allowBlank="1" showInputMessage="1" showErrorMessage="1" errorTitle="Invalid Input" error="Invalid format of input or the value exceed the restricted amount." prompt="Husband / wife / payment of alimony to former wife (Restricted to RM4,000)." sqref="C27" xr:uid="{E7C91816-CF22-4265-B7AF-B0570638C313}">
      <formula1>0</formula1>
      <formula2>4000</formula2>
    </dataValidation>
    <dataValidation type="decimal" allowBlank="1" showInputMessage="1" showErrorMessage="1" errorTitle="Invalid Input" error="Invalid format of input or the value exceed the restricted amount." prompt="Complete medical examination for self, spouse or child (Restricted to RM500)." sqref="B31" xr:uid="{959BEA5C-0760-49F3-873F-BF590AC54392}">
      <formula1>0</formula1>
      <formula2>500</formula2>
    </dataValidation>
    <dataValidation type="decimal" operator="greaterThanOrEqual" showInputMessage="1" showErrorMessage="1" errorTitle="Invalid Input" error="Invalid format of input or the value exceed the restricted amount." prompt=" Medical expenses for fertility treatment for self or spouse." sqref="B30" xr:uid="{9941EF07-76A9-4FCE-9B28-24705F206C96}">
      <formula1>0</formula1>
    </dataValidation>
    <dataValidation type="decimal" operator="greaterThanOrEqual" allowBlank="1" showInputMessage="1" showErrorMessage="1" errorTitle="Invalid Input" error="Invalid format of input or the value exceed the restricted amount." prompt="Medical expenses for serious diseases for self, spouse or child." sqref="B29" xr:uid="{5B658C64-248A-4F2D-B93B-C6FD6BAE8CC6}">
      <formula1>0</formula1>
    </dataValidation>
    <dataValidation type="decimal" showInputMessage="1" showErrorMessage="1" sqref="C36" xr:uid="{0F7AB572-5922-43DD-AA69-4D1474C7D612}">
      <formula1>0</formula1>
      <formula2>6000</formula2>
    </dataValidation>
    <dataValidation type="decimal" allowBlank="1" showInputMessage="1" showErrorMessage="1" errorTitle="Invalid Input" error="Invalid format of input or the value exceed the restricted amount." prompt="Purchase of personal computer, smartphone or tablet for self, spouse or child and not for business use which purchased within 1st June 2020 to 31st December 2020(This is an additional deduction for Year of Assessment 2020) (Restricted to RM2,500)." sqref="C40" xr:uid="{F40E0CFE-C8A8-4184-9719-DD1AFE05805A}">
      <formula1>0</formula1>
      <formula2>2500</formula2>
    </dataValidation>
    <dataValidation showInputMessage="1" showErrorMessage="1" prompt="(Restricted to RM6,000). The system will automatically change the amount of reliefs to RM6,000 if the total of medical reliefs exceed RM6,000." sqref="C29:C31" xr:uid="{73A097EF-5CAA-4469-A212-B25DADC78322}"/>
    <dataValidation type="list" showInputMessage="1" showErrorMessage="1" errorTitle="Invalid Input" error="Please choose an option." prompt="RM3,500 reliefs if spouse is disabled." sqref="B34" xr:uid="{6171B178-C1EB-4AC6-8387-82D695C7486F}">
      <formula1>$P$29:$P$30</formula1>
    </dataValidation>
    <dataValidation type="decimal" showInputMessage="1" showErrorMessage="1" errorTitle="Invalid Input" error="Invalid format of input or the value exceed the restricted amount." prompt="Education and medical insurances paid (Restricted to RM3,000)" sqref="C14" xr:uid="{7508F134-1304-4F27-A431-FAAD6C83FF08}">
      <formula1>0</formula1>
      <formula2>3000</formula2>
    </dataValidation>
    <dataValidation type="list" allowBlank="1" showInputMessage="1" showErrorMessage="1" errorTitle="Invalid Input" error="Please choose an option." prompt="Parental care living fees._x000a_Restricted to RM1,500 for only ONE mother_x000a_Restricted to RM1,500 for only ONE father." sqref="B20" xr:uid="{97D16859-6DC4-4223-9DF3-924B8F501940}">
      <formula1>$P$16:$P$18</formula1>
    </dataValidation>
    <dataValidation type="decimal" showInputMessage="1" showErrorMessage="1" errorTitle="Invalid Input" error="Invalid format of input or the value exceed the restricted amount." prompt="Medical condition certified by medical practitioner (Restricted to RM5,000)." sqref="B18" xr:uid="{5391E60B-DBAD-49F1-9A62-1634E3F5EA3F}">
      <formula1>0</formula1>
      <formula2>5000</formula2>
    </dataValidation>
    <dataValidation type="decimal" operator="greaterThanOrEqual" allowBlank="1" showErrorMessage="1" errorTitle="Invalid Input" error="Invalid format of input or the value exceed the restricted amount." promptTitle="Income" sqref="B5" xr:uid="{AE3BA15A-E938-4699-B302-1B4E1646203D}">
      <formula1>0</formula1>
    </dataValidation>
    <dataValidation type="decimal" showInputMessage="1" showErrorMessage="1" errorTitle="Invalid Input" error="Invalid format of input or the value exceed the restricted amount." prompt="Course of study for masters or doctorate level (Restrited to RM7,000)." sqref="C11" xr:uid="{DA1EDB83-31E8-4541-B69F-1E9DED935725}">
      <formula1>0</formula1>
      <formula2>7000</formula2>
    </dataValidation>
    <dataValidation allowBlank="1" showInputMessage="1" showErrorMessage="1" prompt="The system will automatically choose the highest amount of tax reliefs." sqref="C18:C20" xr:uid="{2CBA2186-B2E1-4ED9-AADB-70E1A1163F03}"/>
    <dataValidation type="whole" operator="greaterThanOrEqual" allowBlank="1" showInputMessage="1" showErrorMessage="1" errorTitle="Invalid Input" error="Invalid format of input." prompt="Number of unmarried children under age of 18 years old (RM2,000 reliefs for each child)._x000a_ " sqref="B23" xr:uid="{54FE7EB9-70B7-4571-B41D-500F0CA9FBA7}">
      <formula1>0</formula1>
    </dataValidation>
    <dataValidation type="whole" operator="greaterThanOrEqual" allowBlank="1" showInputMessage="1" showErrorMessage="1" errorTitle="Invalid Input" error="Invalid format of input." prompt="Number of unmarried children with full time education such as &quot;A-Level&quot;, certificate, matriculation or preparatory courses (RM2,000 reliefs for each child)." sqref="B24" xr:uid="{AA81FF30-3998-4181-9DFF-457F628C4B54}">
      <formula1>0</formula1>
    </dataValidation>
    <dataValidation type="whole" operator="greaterThanOrEqual" allowBlank="1" showInputMessage="1" showErrorMessage="1" errorTitle="Invalid Input" error="Invalid format of input." prompt="Number of unmarried children with further education excluding matriculation and preparatory courses (RM8,000 reliefs for each child)." sqref="B25" xr:uid="{31FECC89-10BB-498B-B58E-2A4C00E7A39F}">
      <formula1>0</formula1>
    </dataValidation>
    <dataValidation type="decimal" allowBlank="1" showInputMessage="1" showErrorMessage="1" errorTitle="Invalid Input" error="Invalid format of input or the value exceed the restricted amount." prompt="Purchase of breastfeeding equipment for own use for a child aged 2 years and below (Restricted to RM1,000)." sqref="C26" xr:uid="{988407F5-7A6A-4774-B7EF-4B1AFC1E3616}">
      <formula1>0</formula1>
      <formula2>1000</formula2>
    </dataValidation>
    <dataValidation type="decimal" showInputMessage="1" showErrorMessage="1" errorTitle="Invalid Input" error="Invalid format of input or the value exceed the restricted amount." prompt="Purchase of basic supporting equipment for disabled self, spouse, child or parent (Restricted to RM6,000)." sqref="C35" xr:uid="{6480D7F2-F7AC-43AE-A088-81B914A90A6E}">
      <formula1>0</formula1>
      <formula2>6000</formula2>
    </dataValidation>
    <dataValidation type="whole" operator="greaterThanOrEqual" allowBlank="1" showInputMessage="1" showErrorMessage="1" errorTitle="Invalid Input" error="Invalid format of input." prompt="RM6,000 reliefs for each disabled child." sqref="B36" xr:uid="{D6110558-0140-4522-89E1-82B1B24B6D1F}">
      <formula1>0</formula1>
    </dataValidation>
    <dataValidation type="whole" operator="greaterThanOrEqual" allowBlank="1" showInputMessage="1" showErrorMessage="1" errorTitle="Invalid Input" error="Invalid format of input." prompt="RM1,4000 reliefs for each disabled child age 18 and above, unmarried and in higher education." sqref="B37" xr:uid="{60B54FC9-91CB-4145-B9F3-65B96EA6EF5E}">
      <formula1>0</formula1>
    </dataValidation>
    <dataValidation type="decimal" allowBlank="1" showInputMessage="1" showErrorMessage="1" errorTitle="Invalid Input" error="Invalid format of input or the value exceed the restricted amount." prompt="Purchase of books / journals / magazines / printed newspapers(not banned reading materials), personal computer, smartphone, tablet, sports equipments and payment of own internet subscription bill (Restricted to RM2,500)." sqref="C39" xr:uid="{78B0F394-6E65-46A7-BB7D-5AD611554C1B}">
      <formula1>0</formula1>
      <formula2>2500</formula2>
    </dataValidation>
  </dataValidations>
  <pageMargins left="0.7" right="0.7" top="0.75" bottom="0.75" header="0.3" footer="0.3"/>
  <drawing r:id="rId1"/>
  <legacyDrawing r:id="rId2"/>
  <controls>
    <mc:AlternateContent xmlns:mc="http://schemas.openxmlformats.org/markup-compatibility/2006">
      <mc:Choice Requires="x14">
        <control shapeId="1025" r:id="rId3" name="btnCalculate">
          <controlPr defaultSize="0" autoLine="0" r:id="rId4">
            <anchor moveWithCells="1">
              <from>
                <xdr:col>1</xdr:col>
                <xdr:colOff>701040</xdr:colOff>
                <xdr:row>44</xdr:row>
                <xdr:rowOff>0</xdr:rowOff>
              </from>
              <to>
                <xdr:col>3</xdr:col>
                <xdr:colOff>7620</xdr:colOff>
                <xdr:row>46</xdr:row>
                <xdr:rowOff>0</xdr:rowOff>
              </to>
            </anchor>
          </controlPr>
        </control>
      </mc:Choice>
      <mc:Fallback>
        <control shapeId="1025" r:id="rId3" name="btnCalculate"/>
      </mc:Fallback>
    </mc:AlternateContent>
    <mc:AlternateContent xmlns:mc="http://schemas.openxmlformats.org/markup-compatibility/2006">
      <mc:Choice Requires="x14">
        <control shapeId="1026" r:id="rId5" name="btnReset">
          <controlPr defaultSize="0" autoLine="0" r:id="rId6">
            <anchor moveWithCells="1">
              <from>
                <xdr:col>0</xdr:col>
                <xdr:colOff>2362200</xdr:colOff>
                <xdr:row>44</xdr:row>
                <xdr:rowOff>0</xdr:rowOff>
              </from>
              <to>
                <xdr:col>1</xdr:col>
                <xdr:colOff>289560</xdr:colOff>
                <xdr:row>45</xdr:row>
                <xdr:rowOff>175260</xdr:rowOff>
              </to>
            </anchor>
          </controlPr>
        </control>
      </mc:Choice>
      <mc:Fallback>
        <control shapeId="1026" r:id="rId5" name="btnRese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D77F9-3710-4923-89D0-A27C02A1F44E}">
  <sheetPr codeName="Sheet2"/>
  <dimension ref="A1:Q62"/>
  <sheetViews>
    <sheetView tabSelected="1" zoomScale="85" zoomScaleNormal="85" workbookViewId="0">
      <selection sqref="A1:E1"/>
    </sheetView>
  </sheetViews>
  <sheetFormatPr defaultRowHeight="14.4" x14ac:dyDescent="0.3"/>
  <cols>
    <col min="1" max="1" width="48.77734375" bestFit="1" customWidth="1"/>
    <col min="2" max="2" width="11.6640625" customWidth="1"/>
    <col min="3" max="3" width="16.77734375" customWidth="1"/>
    <col min="5" max="5" width="21.109375" customWidth="1"/>
    <col min="16" max="16" width="26.33203125" hidden="1" customWidth="1"/>
    <col min="17" max="17" width="0" hidden="1" customWidth="1"/>
  </cols>
  <sheetData>
    <row r="1" spans="1:17" ht="31.2" x14ac:dyDescent="0.6">
      <c r="A1" s="59" t="s">
        <v>0</v>
      </c>
      <c r="B1" s="59"/>
      <c r="C1" s="59"/>
      <c r="D1" s="59"/>
      <c r="E1" s="59"/>
    </row>
    <row r="3" spans="1:17" ht="70.8" customHeight="1" x14ac:dyDescent="0.3">
      <c r="A3" s="60" t="s">
        <v>56</v>
      </c>
      <c r="B3" s="60"/>
      <c r="C3" s="60"/>
      <c r="D3" s="60"/>
      <c r="E3" s="60"/>
    </row>
    <row r="5" spans="1:17" x14ac:dyDescent="0.3">
      <c r="A5" s="1" t="s">
        <v>1</v>
      </c>
      <c r="B5" s="36">
        <v>60000</v>
      </c>
      <c r="C5" t="s">
        <v>2</v>
      </c>
    </row>
    <row r="7" spans="1:17" x14ac:dyDescent="0.3">
      <c r="A7" s="61" t="s">
        <v>3</v>
      </c>
      <c r="B7" s="62"/>
      <c r="C7" s="62"/>
      <c r="D7" s="2"/>
    </row>
    <row r="8" spans="1:17" x14ac:dyDescent="0.3">
      <c r="A8" s="63" t="s">
        <v>4</v>
      </c>
      <c r="B8" s="64"/>
      <c r="C8" s="3" t="s">
        <v>5</v>
      </c>
      <c r="D8" s="2"/>
    </row>
    <row r="9" spans="1:17" x14ac:dyDescent="0.3">
      <c r="A9" s="65" t="s">
        <v>6</v>
      </c>
      <c r="B9" s="66"/>
      <c r="C9" s="67"/>
      <c r="D9" s="2"/>
    </row>
    <row r="10" spans="1:17" x14ac:dyDescent="0.3">
      <c r="A10" s="57" t="s">
        <v>7</v>
      </c>
      <c r="B10" s="58"/>
      <c r="C10" s="4">
        <v>9000</v>
      </c>
      <c r="D10" s="2"/>
    </row>
    <row r="11" spans="1:17" x14ac:dyDescent="0.3">
      <c r="A11" s="50" t="s">
        <v>8</v>
      </c>
      <c r="B11" s="51"/>
      <c r="C11" s="37">
        <v>0</v>
      </c>
      <c r="D11" s="2"/>
    </row>
    <row r="12" spans="1:17" x14ac:dyDescent="0.3">
      <c r="A12" s="74" t="s">
        <v>9</v>
      </c>
      <c r="B12" s="74"/>
      <c r="C12" s="37">
        <v>0</v>
      </c>
      <c r="D12" s="2"/>
    </row>
    <row r="13" spans="1:17" x14ac:dyDescent="0.3">
      <c r="A13" s="76" t="s">
        <v>10</v>
      </c>
      <c r="B13" s="74"/>
      <c r="C13" s="37">
        <v>0</v>
      </c>
      <c r="D13" s="2"/>
    </row>
    <row r="14" spans="1:17" x14ac:dyDescent="0.3">
      <c r="A14" s="77" t="s">
        <v>11</v>
      </c>
      <c r="B14" s="78"/>
      <c r="C14" s="37">
        <v>0</v>
      </c>
      <c r="D14" s="2"/>
    </row>
    <row r="15" spans="1:17" x14ac:dyDescent="0.3">
      <c r="A15" s="51" t="s">
        <v>12</v>
      </c>
      <c r="B15" s="51"/>
      <c r="C15" s="37">
        <v>0</v>
      </c>
      <c r="D15" s="2"/>
      <c r="P15" t="s">
        <v>13</v>
      </c>
    </row>
    <row r="16" spans="1:17" x14ac:dyDescent="0.3">
      <c r="A16" s="48" t="s">
        <v>14</v>
      </c>
      <c r="B16" s="49"/>
      <c r="C16" s="37">
        <v>0</v>
      </c>
      <c r="D16" s="2"/>
      <c r="P16" t="s">
        <v>15</v>
      </c>
      <c r="Q16">
        <v>1500</v>
      </c>
    </row>
    <row r="17" spans="1:17" x14ac:dyDescent="0.3">
      <c r="A17" s="27" t="s">
        <v>16</v>
      </c>
      <c r="B17" s="28"/>
      <c r="C17" s="29"/>
      <c r="D17" s="2"/>
      <c r="P17" t="s">
        <v>17</v>
      </c>
      <c r="Q17">
        <v>3000</v>
      </c>
    </row>
    <row r="18" spans="1:17" x14ac:dyDescent="0.3">
      <c r="A18" s="5" t="s">
        <v>18</v>
      </c>
      <c r="B18" s="38">
        <v>2000</v>
      </c>
      <c r="C18" s="68">
        <f>MAX(B18,VLOOKUP(B20,P16:Q18,2,FALSE))</f>
        <v>3000</v>
      </c>
      <c r="D18" s="2"/>
      <c r="P18" t="s">
        <v>19</v>
      </c>
      <c r="Q18">
        <v>0</v>
      </c>
    </row>
    <row r="19" spans="1:17" x14ac:dyDescent="0.3">
      <c r="A19" s="6" t="s">
        <v>20</v>
      </c>
      <c r="B19" s="7"/>
      <c r="C19" s="69"/>
      <c r="D19" s="2"/>
    </row>
    <row r="20" spans="1:17" x14ac:dyDescent="0.3">
      <c r="A20" s="8" t="s">
        <v>21</v>
      </c>
      <c r="B20" s="39" t="s">
        <v>17</v>
      </c>
      <c r="C20" s="70"/>
      <c r="D20" s="2"/>
    </row>
    <row r="21" spans="1:17" x14ac:dyDescent="0.3">
      <c r="A21" s="30" t="s">
        <v>22</v>
      </c>
      <c r="B21" s="31"/>
      <c r="C21" s="32"/>
      <c r="D21" s="2"/>
    </row>
    <row r="22" spans="1:17" x14ac:dyDescent="0.3">
      <c r="A22" s="71" t="s">
        <v>23</v>
      </c>
      <c r="B22" s="72"/>
      <c r="C22" s="37">
        <v>0</v>
      </c>
      <c r="D22" s="2"/>
    </row>
    <row r="23" spans="1:17" x14ac:dyDescent="0.3">
      <c r="A23" s="47" t="s">
        <v>54</v>
      </c>
      <c r="B23" s="40">
        <v>2</v>
      </c>
      <c r="C23" s="10">
        <f>2000*B23</f>
        <v>4000</v>
      </c>
      <c r="P23" t="s">
        <v>24</v>
      </c>
    </row>
    <row r="24" spans="1:17" x14ac:dyDescent="0.3">
      <c r="A24" s="11" t="s">
        <v>25</v>
      </c>
      <c r="B24" s="40">
        <v>0</v>
      </c>
      <c r="C24" s="12">
        <f>2000*B24</f>
        <v>0</v>
      </c>
      <c r="P24" t="s">
        <v>26</v>
      </c>
      <c r="Q24">
        <v>6000</v>
      </c>
    </row>
    <row r="25" spans="1:17" x14ac:dyDescent="0.3">
      <c r="A25" s="11" t="s">
        <v>27</v>
      </c>
      <c r="B25" s="40">
        <v>1</v>
      </c>
      <c r="C25" s="12">
        <f>8000*B25</f>
        <v>8000</v>
      </c>
      <c r="P25" t="s">
        <v>28</v>
      </c>
      <c r="Q25">
        <v>0</v>
      </c>
    </row>
    <row r="26" spans="1:17" x14ac:dyDescent="0.3">
      <c r="A26" s="73" t="s">
        <v>29</v>
      </c>
      <c r="B26" s="74"/>
      <c r="C26" s="37">
        <v>0</v>
      </c>
    </row>
    <row r="27" spans="1:17" x14ac:dyDescent="0.3">
      <c r="A27" s="75" t="s">
        <v>30</v>
      </c>
      <c r="B27" s="49"/>
      <c r="C27" s="41">
        <v>0</v>
      </c>
    </row>
    <row r="28" spans="1:17" x14ac:dyDescent="0.3">
      <c r="A28" s="33" t="s">
        <v>31</v>
      </c>
      <c r="B28" s="34"/>
      <c r="C28" s="35"/>
      <c r="P28" t="s">
        <v>32</v>
      </c>
    </row>
    <row r="29" spans="1:17" x14ac:dyDescent="0.3">
      <c r="A29" s="13" t="s">
        <v>33</v>
      </c>
      <c r="B29" s="42">
        <v>10000</v>
      </c>
      <c r="C29" s="52">
        <f>IF(B29+B30+B31&gt;6000, 6000, B29+B30+B31)</f>
        <v>6000</v>
      </c>
      <c r="P29" t="s">
        <v>26</v>
      </c>
      <c r="Q29">
        <v>3500</v>
      </c>
    </row>
    <row r="30" spans="1:17" x14ac:dyDescent="0.3">
      <c r="A30" s="46" t="s">
        <v>34</v>
      </c>
      <c r="B30" s="42">
        <v>0</v>
      </c>
      <c r="C30" s="53"/>
      <c r="P30" t="s">
        <v>28</v>
      </c>
      <c r="Q30">
        <v>0</v>
      </c>
    </row>
    <row r="31" spans="1:17" x14ac:dyDescent="0.3">
      <c r="A31" s="46" t="s">
        <v>35</v>
      </c>
      <c r="B31" s="42">
        <v>500</v>
      </c>
      <c r="C31" s="54"/>
    </row>
    <row r="32" spans="1:17" x14ac:dyDescent="0.3">
      <c r="A32" s="30" t="s">
        <v>36</v>
      </c>
      <c r="B32" s="31"/>
      <c r="C32" s="32"/>
    </row>
    <row r="33" spans="1:3" x14ac:dyDescent="0.3">
      <c r="A33" s="47" t="s">
        <v>37</v>
      </c>
      <c r="B33" s="43" t="s">
        <v>28</v>
      </c>
      <c r="C33" s="15">
        <f>VLOOKUP(B33,P24:Q25,2,FALSE)</f>
        <v>0</v>
      </c>
    </row>
    <row r="34" spans="1:3" x14ac:dyDescent="0.3">
      <c r="A34" s="47" t="s">
        <v>38</v>
      </c>
      <c r="B34" s="43" t="s">
        <v>28</v>
      </c>
      <c r="C34" s="15">
        <f>VLOOKUP(B34,P29:Q30,2,FALSE)</f>
        <v>0</v>
      </c>
    </row>
    <row r="35" spans="1:3" x14ac:dyDescent="0.3">
      <c r="A35" s="55" t="s">
        <v>39</v>
      </c>
      <c r="B35" s="51"/>
      <c r="C35" s="37">
        <v>0</v>
      </c>
    </row>
    <row r="36" spans="1:3" x14ac:dyDescent="0.3">
      <c r="A36" s="47" t="s">
        <v>40</v>
      </c>
      <c r="B36" s="40">
        <v>0</v>
      </c>
      <c r="C36" s="16">
        <f>B36*6000</f>
        <v>0</v>
      </c>
    </row>
    <row r="37" spans="1:3" x14ac:dyDescent="0.3">
      <c r="A37" s="47" t="s">
        <v>41</v>
      </c>
      <c r="B37" s="40">
        <v>0</v>
      </c>
      <c r="C37" s="15">
        <f>(6000+8000)*B37</f>
        <v>0</v>
      </c>
    </row>
    <row r="38" spans="1:3" x14ac:dyDescent="0.3">
      <c r="A38" s="30" t="s">
        <v>42</v>
      </c>
      <c r="B38" s="31"/>
      <c r="C38" s="32"/>
    </row>
    <row r="39" spans="1:3" x14ac:dyDescent="0.3">
      <c r="A39" s="50" t="s">
        <v>43</v>
      </c>
      <c r="B39" s="51"/>
      <c r="C39" s="37">
        <v>0</v>
      </c>
    </row>
    <row r="40" spans="1:3" x14ac:dyDescent="0.3">
      <c r="A40" s="50" t="s">
        <v>44</v>
      </c>
      <c r="B40" s="51"/>
      <c r="C40" s="44">
        <v>0</v>
      </c>
    </row>
    <row r="41" spans="1:3" x14ac:dyDescent="0.3">
      <c r="A41" s="30" t="s">
        <v>45</v>
      </c>
      <c r="B41" s="31"/>
      <c r="C41" s="32"/>
    </row>
    <row r="42" spans="1:3" x14ac:dyDescent="0.3">
      <c r="A42" s="48" t="s">
        <v>46</v>
      </c>
      <c r="B42" s="49"/>
      <c r="C42" s="45">
        <v>0</v>
      </c>
    </row>
    <row r="43" spans="1:3" x14ac:dyDescent="0.3">
      <c r="B43" s="17" t="s">
        <v>47</v>
      </c>
      <c r="C43" s="19">
        <v>30000</v>
      </c>
    </row>
    <row r="48" spans="1:3" x14ac:dyDescent="0.3">
      <c r="A48" s="18" t="s">
        <v>55</v>
      </c>
      <c r="B48" s="19">
        <v>30000</v>
      </c>
    </row>
    <row r="49" spans="1:4" x14ac:dyDescent="0.3">
      <c r="A49" s="20" t="s">
        <v>48</v>
      </c>
      <c r="B49" s="20" t="s">
        <v>49</v>
      </c>
      <c r="C49" s="20" t="s">
        <v>50</v>
      </c>
      <c r="D49" s="46"/>
    </row>
    <row r="50" spans="1:4" x14ac:dyDescent="0.3">
      <c r="A50" s="21" t="s">
        <v>52</v>
      </c>
      <c r="B50" s="22">
        <f>IF(A50="","",0)</f>
        <v>0</v>
      </c>
      <c r="C50" s="15">
        <f>5000*0</f>
        <v>0</v>
      </c>
    </row>
    <row r="51" spans="1:4" x14ac:dyDescent="0.3">
      <c r="A51" s="21" t="str">
        <f>IF(B5&lt;34000,"", IF(B48&lt;=5000,"","5,001 - 20,000"))</f>
        <v>5,001 - 20,000</v>
      </c>
      <c r="B51" s="22">
        <f>IF(A51="","",1)</f>
        <v>1</v>
      </c>
      <c r="C51" s="15">
        <f>IF(B51="","",15000*(B51%))</f>
        <v>150</v>
      </c>
    </row>
    <row r="52" spans="1:4" x14ac:dyDescent="0.3">
      <c r="A52" s="21" t="str">
        <f>IF(B5&lt;34000,"",IF(B48&lt;=20000,"","20,001 - 35,000"))</f>
        <v>20,001 - 35,000</v>
      </c>
      <c r="B52" s="22">
        <f>IF(A52="","",3)</f>
        <v>3</v>
      </c>
      <c r="C52" s="15">
        <f>IF(B52="","",IF($B$48&gt;35000,ROUND(15000*B52%,2),ROUND(($B$48-20000)*B52%,2)))</f>
        <v>300</v>
      </c>
    </row>
    <row r="53" spans="1:4" x14ac:dyDescent="0.3">
      <c r="A53" s="21" t="str">
        <f>IF(B48&lt;=35000,"","35,001 - 50,000")</f>
        <v/>
      </c>
      <c r="B53" s="22" t="str">
        <f>IF(A53="","",8)</f>
        <v/>
      </c>
      <c r="C53" s="15" t="str">
        <f>IF(B53="","",IF($B$48&gt;50000,ROUND(15000*B53%,2),ROUND(($B$48-35000)*B53%,2)))</f>
        <v/>
      </c>
    </row>
    <row r="54" spans="1:4" x14ac:dyDescent="0.3">
      <c r="A54" s="21" t="str">
        <f>IF(B48&lt;=50000,"","50,001 - 70,000")</f>
        <v/>
      </c>
      <c r="B54" s="22" t="str">
        <f>IF(A54="","",14)</f>
        <v/>
      </c>
      <c r="C54" s="15" t="str">
        <f>IF(B54="","",IF($B$48&gt;70000,ROUND(20000*B54%,2),ROUND(($B$48-50000)*B54%,2)))</f>
        <v/>
      </c>
    </row>
    <row r="55" spans="1:4" x14ac:dyDescent="0.3">
      <c r="A55" s="21" t="str">
        <f>IF(B48&lt;=70000,"","70,001 - 100,000")</f>
        <v/>
      </c>
      <c r="B55" s="22" t="str">
        <f>IF(A55="","",21)</f>
        <v/>
      </c>
      <c r="C55" s="15" t="str">
        <f>IF(B55="","",IF($B$48&gt;100000,ROUND(30000*B55%,2),ROUND(($B$48-70000)*B55%,2)))</f>
        <v/>
      </c>
    </row>
    <row r="56" spans="1:4" x14ac:dyDescent="0.3">
      <c r="A56" s="21" t="str">
        <f>IF(B48&lt;=100000,"","100,001 - 250,000")</f>
        <v/>
      </c>
      <c r="B56" s="22" t="str">
        <f>IF(A56="","",24)</f>
        <v/>
      </c>
      <c r="C56" s="15" t="str">
        <f>IF(B56="","",IF($B$48&gt;250000,ROUND(150000*B56%,2),ROUND(($B$48-100000)*B56%,2)))</f>
        <v/>
      </c>
    </row>
    <row r="57" spans="1:4" x14ac:dyDescent="0.3">
      <c r="A57" s="21" t="str">
        <f>IF(B48&lt;=250000,"","250,001 - 400,000")</f>
        <v/>
      </c>
      <c r="B57" s="22" t="str">
        <f>IF(A57="","",24.5)</f>
        <v/>
      </c>
      <c r="C57" s="15" t="str">
        <f>IF(B57="","",IF($B$48&gt;400000,ROUND(150000*B57%,2),ROUND(($B$48-250000)*B57%,2)))</f>
        <v/>
      </c>
    </row>
    <row r="58" spans="1:4" x14ac:dyDescent="0.3">
      <c r="A58" s="21" t="str">
        <f>IF(B48&lt;=400000,"","400,001 - 600,000")</f>
        <v/>
      </c>
      <c r="B58" s="22" t="str">
        <f>IF(A58="","",25)</f>
        <v/>
      </c>
      <c r="C58" s="15" t="str">
        <f>IF(B58="","",IF($B$48&gt;600000,ROUND(200000*B58%,2),ROUND(($B$48-400000)*B58%,2)))</f>
        <v/>
      </c>
    </row>
    <row r="59" spans="1:4" x14ac:dyDescent="0.3">
      <c r="A59" s="21" t="str">
        <f>IF(B48&lt;=600000,"","600,001 - 1,000,000")</f>
        <v/>
      </c>
      <c r="B59" s="22" t="str">
        <f>IF(A59="","",26)</f>
        <v/>
      </c>
      <c r="C59" s="15" t="str">
        <f>IF(B59="","",IF($B$48&gt;1000000,ROUND(400000*B59%,2),ROUND(($B$48-600000)*B59%,2)))</f>
        <v/>
      </c>
    </row>
    <row r="60" spans="1:4" x14ac:dyDescent="0.3">
      <c r="A60" s="21" t="str">
        <f>IF(B48&lt;=1000000,"","1,000,001 - 2,000,000")</f>
        <v/>
      </c>
      <c r="B60" s="22" t="str">
        <f>IF(A60="","",28)</f>
        <v/>
      </c>
      <c r="C60" s="15" t="str">
        <f>IF(B60="","",IF($B$48&gt;2000000,ROUND(1000000*B60%,2),ROUND(($B$48-1000000)*B60%,2)))</f>
        <v/>
      </c>
    </row>
    <row r="61" spans="1:4" x14ac:dyDescent="0.3">
      <c r="A61" s="23" t="str">
        <f>IF(B48&lt;=2000000,"","Exceding 2,000,000")</f>
        <v/>
      </c>
      <c r="B61" s="24" t="str">
        <f>IF(A61="","",30)</f>
        <v/>
      </c>
      <c r="C61" s="25" t="str">
        <f>IF(B61="","",ROUND(($B$48-2000000)*B61%,2))</f>
        <v/>
      </c>
    </row>
    <row r="62" spans="1:4" x14ac:dyDescent="0.3">
      <c r="A62" s="56" t="s">
        <v>51</v>
      </c>
      <c r="B62" s="56"/>
      <c r="C62" s="26">
        <f>SUM(C50:C61)</f>
        <v>450</v>
      </c>
    </row>
  </sheetData>
  <sheetProtection sheet="1" objects="1" scenarios="1"/>
  <mergeCells count="22">
    <mergeCell ref="A39:B39"/>
    <mergeCell ref="A40:B40"/>
    <mergeCell ref="A42:B42"/>
    <mergeCell ref="A62:B62"/>
    <mergeCell ref="C18:C20"/>
    <mergeCell ref="A22:B22"/>
    <mergeCell ref="A26:B26"/>
    <mergeCell ref="A27:B27"/>
    <mergeCell ref="C29:C31"/>
    <mergeCell ref="A35:B35"/>
    <mergeCell ref="A16:B16"/>
    <mergeCell ref="A1:E1"/>
    <mergeCell ref="A3:E3"/>
    <mergeCell ref="A7:C7"/>
    <mergeCell ref="A8:B8"/>
    <mergeCell ref="A9:C9"/>
    <mergeCell ref="A10:B10"/>
    <mergeCell ref="A11:B11"/>
    <mergeCell ref="A12:B12"/>
    <mergeCell ref="A13:B13"/>
    <mergeCell ref="A14:B14"/>
    <mergeCell ref="A15:B15"/>
  </mergeCells>
  <conditionalFormatting sqref="C18">
    <cfRule type="expression" dxfId="0" priority="1">
      <formula>MATCH($A$18,$P$15:$P$18,0)=1</formula>
    </cfRule>
  </conditionalFormatting>
  <dataValidations count="31">
    <dataValidation type="decimal" allowBlank="1" showInputMessage="1" showErrorMessage="1" errorTitle="Invalid Input" error="Invalid format of input or the value exceed the restricted amount." prompt="Purchase of books / journals / magazines / printed newspapers(not banned reading materials), personal computer, smartphone, tablet, sports equipments and payment of own internet subscription bill (Restricted to RM2,500)." sqref="C39" xr:uid="{C675AC83-8A8D-4855-890D-3DB98ACBBE75}">
      <formula1>0</formula1>
      <formula2>2500</formula2>
    </dataValidation>
    <dataValidation type="whole" operator="greaterThanOrEqual" allowBlank="1" showInputMessage="1" showErrorMessage="1" errorTitle="Invalid Input" error="Invalid format of input." prompt="RM1,4000 reliefs for each disabled child age 18 and above, unmarried and in higher education." sqref="B37" xr:uid="{FA974A7E-B836-4F48-9F87-CD366E912437}">
      <formula1>0</formula1>
    </dataValidation>
    <dataValidation type="whole" operator="greaterThanOrEqual" allowBlank="1" showInputMessage="1" showErrorMessage="1" errorTitle="Invalid Input" error="Invalid format of input." prompt="RM6,000 reliefs for each disabled child." sqref="B36" xr:uid="{4CD74900-D5D9-4845-9863-D11A2C9127E7}">
      <formula1>0</formula1>
    </dataValidation>
    <dataValidation type="decimal" showInputMessage="1" showErrorMessage="1" errorTitle="Invalid Input" error="Invalid format of input or the value exceed the restricted amount." prompt="Purchase of basic supporting equipment for disabled self, spouse, child or parent (Restricted to RM6,000)." sqref="C35" xr:uid="{8B3DE8B9-5BDD-4895-8C1D-56D8F4BB0C65}">
      <formula1>0</formula1>
      <formula2>6000</formula2>
    </dataValidation>
    <dataValidation type="decimal" allowBlank="1" showInputMessage="1" showErrorMessage="1" errorTitle="Invalid Input" error="Invalid format of input or the value exceed the restricted amount." prompt="Purchase of breastfeeding equipment for own use for a child aged 2 years and below (Restricted to RM1,000)." sqref="C26" xr:uid="{E3604CAA-E1CC-4E06-822C-DCA4C5E57407}">
      <formula1>0</formula1>
      <formula2>1000</formula2>
    </dataValidation>
    <dataValidation type="whole" operator="greaterThanOrEqual" allowBlank="1" showInputMessage="1" showErrorMessage="1" errorTitle="Invalid Input" error="Invalid format of input." prompt="Number of unmarried children with further education excluding matriculation and preparatory courses (RM8,000 reliefs for each child)." sqref="B25" xr:uid="{87F0CB59-CE16-4D7C-AAA9-9DA72D890F9D}">
      <formula1>0</formula1>
    </dataValidation>
    <dataValidation type="whole" operator="greaterThanOrEqual" allowBlank="1" showInputMessage="1" showErrorMessage="1" errorTitle="Invalid Input" error="Invalid format of input." prompt="Number of unmarried children with full time education such as &quot;A-Level&quot;, certificate, matriculation or preparatory courses (RM2,000 reliefs for each child)." sqref="B24" xr:uid="{0697D802-13B2-4F09-BE4F-8C5D9982E45B}">
      <formula1>0</formula1>
    </dataValidation>
    <dataValidation type="whole" operator="greaterThanOrEqual" allowBlank="1" showInputMessage="1" showErrorMessage="1" errorTitle="Invalid Input" error="Invalid format of input." prompt="Number of unmarried children under age of 18 years old (RM2,000 reliefs for each child)._x000a_ " sqref="B23" xr:uid="{0DEAD541-9E4B-4009-B20F-E3094117A2FE}">
      <formula1>0</formula1>
    </dataValidation>
    <dataValidation allowBlank="1" showInputMessage="1" showErrorMessage="1" prompt="The system will automatically choose the highest amount of tax reliefs." sqref="C18:C20" xr:uid="{95B21AA8-1549-4D17-B979-4D2211DC3F2D}"/>
    <dataValidation type="decimal" showInputMessage="1" showErrorMessage="1" errorTitle="Invalid Input" error="Invalid format of input or the value exceed the restricted amount." prompt="Course of study for masters or doctorate level (Restrited to RM7,000)." sqref="C11" xr:uid="{A71208EC-DA48-4B70-AF29-DC3B2B4C60BE}">
      <formula1>0</formula1>
      <formula2>7000</formula2>
    </dataValidation>
    <dataValidation type="decimal" operator="greaterThanOrEqual" allowBlank="1" showErrorMessage="1" errorTitle="Invalid Input" error="Invalid format of input or the value exceed the restricted amount." promptTitle="Income" sqref="B5" xr:uid="{6337017F-C640-4B09-A5F5-BC7D7ACC74B3}">
      <formula1>0</formula1>
    </dataValidation>
    <dataValidation type="decimal" showInputMessage="1" showErrorMessage="1" errorTitle="Invalid Input" error="Invalid format of input or the value exceed the restricted amount." prompt="Medical condition certified by medical practitioner (Restricted to RM5,000)." sqref="B18" xr:uid="{221C3553-9038-482C-9FF5-076AC566EFC6}">
      <formula1>0</formula1>
      <formula2>5000</formula2>
    </dataValidation>
    <dataValidation type="list" allowBlank="1" showInputMessage="1" showErrorMessage="1" errorTitle="Invalid Input" error="Please choose an option." prompt="Parental care living fees._x000a_Restricted to RM1,500 for only ONE mother_x000a_Restricted to RM1,500 for only ONE father." sqref="B20" xr:uid="{8730E636-D0F2-4C44-8923-CCEA90C328DB}">
      <formula1>$P$16:$P$18</formula1>
    </dataValidation>
    <dataValidation type="decimal" showInputMessage="1" showErrorMessage="1" errorTitle="Invalid Input" error="Invalid format of input or the value exceed the restricted amount." prompt="Education and medical insurances paid (Restricted to RM3,000)" sqref="C14" xr:uid="{1A51FF19-63BB-44A8-A05F-51EF07FE9B9C}">
      <formula1>0</formula1>
      <formula2>3000</formula2>
    </dataValidation>
    <dataValidation type="list" showInputMessage="1" showErrorMessage="1" errorTitle="Invalid Input" error="Please choose an option." prompt="RM3,500 reliefs if spouse is disabled." sqref="B34" xr:uid="{9104D3B9-5B01-4CD7-815A-8030AA88F6A2}">
      <formula1>$P$29:$P$30</formula1>
    </dataValidation>
    <dataValidation showInputMessage="1" showErrorMessage="1" prompt="(Restricted to RM6,000). The system will automatically change the amount of reliefs to RM6,000 if the total of medical reliefs exceed RM6,000." sqref="C29:C31" xr:uid="{2FD0F6AE-5DDB-4350-A485-A281D2B608FA}"/>
    <dataValidation type="decimal" allowBlank="1" showInputMessage="1" showErrorMessage="1" errorTitle="Invalid Input" error="Invalid format of input or the value exceed the restricted amount." prompt="Purchase of personal computer, smartphone or tablet for self, spouse or child and not for business use which purchased within 1st June 2020 to 31st December 2020(This is an additional deduction for Year of Assessment 2020) (Restricted to RM2,500)." sqref="C40" xr:uid="{1E145731-4A09-4BD6-8D1D-955E14768C43}">
      <formula1>0</formula1>
      <formula2>2500</formula2>
    </dataValidation>
    <dataValidation type="decimal" showInputMessage="1" showErrorMessage="1" sqref="C36" xr:uid="{9240D5F8-7B4C-4FEE-B83F-6F247B9F5C5B}">
      <formula1>0</formula1>
      <formula2>6000</formula2>
    </dataValidation>
    <dataValidation type="decimal" operator="greaterThanOrEqual" allowBlank="1" showInputMessage="1" showErrorMessage="1" errorTitle="Invalid Input" error="Invalid format of input." prompt="Medical expenses for serious diseases for self, spouse or child." sqref="B29" xr:uid="{BC105138-FDCB-4882-B11D-C40957EAE5FF}">
      <formula1>0</formula1>
    </dataValidation>
    <dataValidation type="decimal" operator="greaterThanOrEqual" showInputMessage="1" showErrorMessage="1" errorTitle="Invalid Input" error="Invalid format of input." prompt=" Medical expenses for fertility treatment for self or spouse." sqref="B30" xr:uid="{728E1AF8-7725-42A0-A57B-4ADB7D7217AF}">
      <formula1>0</formula1>
    </dataValidation>
    <dataValidation type="decimal" allowBlank="1" showInputMessage="1" showErrorMessage="1" errorTitle="Invalid Input" error="Invalid format of input or the value exceed the restricted amount." prompt="Complete medical examination for self, spouse or child (Restricted to RM500)." sqref="B31" xr:uid="{123BFAE2-FE4E-4711-A9AB-CBEC9DE5D921}">
      <formula1>0</formula1>
      <formula2>500</formula2>
    </dataValidation>
    <dataValidation type="decimal" allowBlank="1" showInputMessage="1" showErrorMessage="1" errorTitle="Invalid Input" error="Invalid format of input or the value exceed the restricted amount." prompt="Husband / wife / payment of alimony to former wife (Restricted to RM4,000)." sqref="C27" xr:uid="{7613D6D7-F9E5-485C-8AF0-DAC701A963C9}">
      <formula1>0</formula1>
      <formula2>4000</formula2>
    </dataValidation>
    <dataValidation type="decimal" allowBlank="1" showInputMessage="1" showErrorMessage="1" errorTitle="Invalid Input" error="Invalid format of input or the value exceed the restricted amount." prompt="Accomodation expenses at premises registered with the Ministry of Tourism, Arts and Culture Malaysia and entrance fees to tourists attractions incurred on or after 1st March 2020 (Restricted to RM1,000)." sqref="C42" xr:uid="{60918D04-58F5-4C0A-B18E-68BF3156F87F}">
      <formula1>0</formula1>
      <formula2>1000</formula2>
    </dataValidation>
    <dataValidation type="decimal" showInputMessage="1" showErrorMessage="1" errorTitle="Invalid Input" error="Invalid format of input or the value exceed the restricted amount." prompt="Child care fees to a registered child care centre / kindergarten for a child aged 6 years and below (Restricted to RM3,000)." sqref="C22" xr:uid="{029896BD-8148-4DCA-A09F-A85AA36E1BA0}">
      <formula1>0</formula1>
      <formula2>3000</formula2>
    </dataValidation>
    <dataValidation type="whole" operator="equal" showInputMessage="1" showErrorMessage="1" prompt="Tax relief of RM9,000 for an individual." sqref="C10" xr:uid="{445AB022-00E1-48DB-B32B-F1500FD8C5C3}">
      <formula1>9000</formula1>
    </dataValidation>
    <dataValidation type="decimal" showInputMessage="1" showErrorMessage="1" errorTitle="Invalid Input" error="Invalid format of input or the value exceed the restricted amount." prompt="Net savings in SSPN account for children's PTPTN (Restricted to RM8,000)." sqref="C16" xr:uid="{F6DAC695-508B-4052-A441-3D34BCB1E71D}">
      <formula1>0</formula1>
      <formula2>8000</formula2>
    </dataValidation>
    <dataValidation type="decimal" allowBlank="1" showInputMessage="1" showErrorMessage="1" errorTitle="Invalid Input" error="Invalid format of input or the value exceed the restricted amount." prompt="PRS approved by Securities Commission (Restricted to RM3,000)" sqref="C15" xr:uid="{DCC90B24-FB8C-45EF-AE93-7CEC3A4600F5}">
      <formula1>0</formula1>
      <formula2>3000</formula2>
    </dataValidation>
    <dataValidation type="decimal" allowBlank="1" showInputMessage="1" showErrorMessage="1" errorTitle="Invalid Input" error="Invalid format of input or the value exceed the restricted amount." sqref="C13" xr:uid="{06D7920F-D4BE-4EDB-96A4-D58803AD4A36}">
      <formula1>0</formula1>
      <formula2>7000</formula2>
    </dataValidation>
    <dataValidation type="decimal" showInputMessage="1" showErrorMessage="1" errorTitle="Invalid Input" error="Invalid format of input or the value exceed the restricted amount." prompt="Contribution to the Social Security Organization (SOCSO) (Restricted to RM250)." sqref="C12" xr:uid="{24118515-8033-40C7-A2A7-C2393CE1F543}">
      <formula1>0</formula1>
      <formula2>250</formula2>
    </dataValidation>
    <dataValidation type="decimal" showInputMessage="1" showErrorMessage="1" prompt="Life insurance premium and EPF paid (Restricted to RM7,000)." sqref="C13" xr:uid="{AE2DDD9F-628A-4F69-A57C-267ECD214C7A}">
      <formula1>0</formula1>
      <formula2>7000</formula2>
    </dataValidation>
    <dataValidation type="list" showInputMessage="1" showErrorMessage="1" errorTitle="Invalid Input" error="Please choose an option." prompt="RM6,000 reliefs for disabled individual." sqref="B33" xr:uid="{E8BF6DD8-8336-48FA-91AC-C105CEF11267}">
      <formula1>$P$24:$P$25</formula1>
    </dataValidation>
  </dataValidations>
  <pageMargins left="0.7" right="0.7" top="0.75" bottom="0.75" header="0.3" footer="0.3"/>
  <drawing r:id="rId1"/>
  <legacyDrawing r:id="rId2"/>
  <controls>
    <mc:AlternateContent xmlns:mc="http://schemas.openxmlformats.org/markup-compatibility/2006">
      <mc:Choice Requires="x14">
        <control shapeId="2054" r:id="rId3" name="btnReset">
          <controlPr defaultSize="0" autoLine="0" r:id="rId4">
            <anchor moveWithCells="1">
              <from>
                <xdr:col>0</xdr:col>
                <xdr:colOff>2354580</xdr:colOff>
                <xdr:row>44</xdr:row>
                <xdr:rowOff>22860</xdr:rowOff>
              </from>
              <to>
                <xdr:col>1</xdr:col>
                <xdr:colOff>281940</xdr:colOff>
                <xdr:row>46</xdr:row>
                <xdr:rowOff>15240</xdr:rowOff>
              </to>
            </anchor>
          </controlPr>
        </control>
      </mc:Choice>
      <mc:Fallback>
        <control shapeId="2054" r:id="rId3" name="btnReset"/>
      </mc:Fallback>
    </mc:AlternateContent>
    <mc:AlternateContent xmlns:mc="http://schemas.openxmlformats.org/markup-compatibility/2006">
      <mc:Choice Requires="x14">
        <control shapeId="2053" r:id="rId5" name="btnCalculate">
          <controlPr defaultSize="0" autoLine="0" r:id="rId6">
            <anchor moveWithCells="1">
              <from>
                <xdr:col>1</xdr:col>
                <xdr:colOff>693420</xdr:colOff>
                <xdr:row>44</xdr:row>
                <xdr:rowOff>22860</xdr:rowOff>
              </from>
              <to>
                <xdr:col>2</xdr:col>
                <xdr:colOff>1143000</xdr:colOff>
                <xdr:row>46</xdr:row>
                <xdr:rowOff>22860</xdr:rowOff>
              </to>
            </anchor>
          </controlPr>
        </control>
      </mc:Choice>
      <mc:Fallback>
        <control shapeId="2053" r:id="rId5" name="btnCalculate"/>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Income Tax(Blank)</vt:lpstr>
      <vt:lpstr>Income Tax(Filled)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2021-08-16T09:25:56Z</dcterms:created>
  <dcterms:modified xsi:type="dcterms:W3CDTF">2021-08-30T12:30:13Z</dcterms:modified>
</cp:coreProperties>
</file>